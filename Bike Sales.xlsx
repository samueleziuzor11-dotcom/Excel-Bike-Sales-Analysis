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esktop\Downloads\EXCEL\"/>
    </mc:Choice>
  </mc:AlternateContent>
  <xr:revisionPtr revIDLastSave="0" documentId="13_ncr:1_{19043C00-7F13-426F-A5CF-17D7437CA654}"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<sst xmlns="http://schemas.openxmlformats.org/spreadsheetml/2006/main" count="16059" uniqueCount="51">
  <si>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</si>
  <si>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</si>
  <si>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</si>
  <si>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</si>
  <si>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</si>
  <si>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</si>
  <si>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</si>
  <si>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</si>
  <si>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</si>
  <si>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</si>
  <si>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</si>
  <si>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</si>
  <si>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</si>
  <si>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</si>
  <si>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</si>
  <si>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</si>
  <si>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</si>
  <si>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</si>
  <si>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</si>
  <si>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</si>
  <si>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</si>
  <si>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</si>
  <si>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</si>
  <si>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</si>
  <si>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</si>
  <si>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</si>
  <si>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</si>
  <si>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</si>
  <si>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</si>
  <si>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</si>
  <si>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</si>
  <si>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</si>
  <si>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</si>
  <si>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</si>
  <si>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</si>
  <si>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</si>
  <si>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</si>
  <si>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</si>
  <si>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</si>
  <si>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</si>
  <si>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Count of Purchased Bike</t>
  </si>
  <si>
    <t>Row Labels</t>
  </si>
  <si>
    <t>Grand Total</t>
  </si>
  <si>
    <t>Average of Income</t>
  </si>
  <si>
    <t>Column Labels</t>
  </si>
  <si>
    <t>More than 10 Miles</t>
  </si>
  <si>
    <t>Age Bracket</t>
  </si>
  <si>
    <t>Adolescent</t>
  </si>
  <si>
    <t>BIKE SALES DASHBOARD</t>
  </si>
  <si>
    <t>Middle Age 31-54</t>
  </si>
  <si>
    <t>Old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</si>
</sst>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34" borderId="0" xfId="0" applyFill="1" applyAlignmen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1F-4D7E-B66B-34D5E25BFB0C}"/>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1F-4D7E-B66B-34D5E25BFB0C}"/>
            </c:ext>
          </c:extLst>
        </c:ser>
        <c:dLbls>
          <c:showLegendKey val="0"/>
          <c:showVal val="0"/>
          <c:showCatName val="0"/>
          <c:showSerName val="0"/>
          <c:showPercent val="0"/>
          <c:showBubbleSize val="0"/>
        </c:dLbls>
        <c:smooth val="0"/>
        <c:axId val="576269096"/>
        <c:axId val="576270896"/>
      </c:lineChart>
      <c:catAx>
        <c:axId val="576269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0896"/>
        <c:crosses val="autoZero"/>
        <c:auto val="1"/>
        <c:lblAlgn val="ctr"/>
        <c:lblOffset val="100"/>
        <c:noMultiLvlLbl val="0"/>
      </c:catAx>
      <c:valAx>
        <c:axId val="576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69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85D-4CBA-9C29-64F71DE9737E}"/>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85D-4CBA-9C29-64F71DE9737E}"/>
            </c:ext>
          </c:extLst>
        </c:ser>
        <c:dLbls>
          <c:showLegendKey val="0"/>
          <c:showVal val="0"/>
          <c:showCatName val="0"/>
          <c:showSerName val="0"/>
          <c:showPercent val="0"/>
          <c:showBubbleSize val="0"/>
        </c:dLbls>
        <c:marker val="1"/>
        <c:smooth val="0"/>
        <c:axId val="575408208"/>
        <c:axId val="575401728"/>
      </c:lineChart>
      <c:catAx>
        <c:axId val="575408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1728"/>
        <c:crosses val="autoZero"/>
        <c:auto val="1"/>
        <c:lblAlgn val="ctr"/>
        <c:lblOffset val="100"/>
        <c:noMultiLvlLbl val="0"/>
      </c:catAx>
      <c:valAx>
        <c:axId val="57540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1D5-4982-9EDE-51D3A5D7758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1D5-4982-9EDE-51D3A5D77582}"/>
            </c:ext>
          </c:extLst>
        </c:ser>
        <c:dLbls>
          <c:showLegendKey val="0"/>
          <c:showVal val="0"/>
          <c:showCatName val="0"/>
          <c:showSerName val="0"/>
          <c:showPercent val="0"/>
          <c:showBubbleSize val="0"/>
        </c:dLbls>
        <c:smooth val="0"/>
        <c:axId val="576269096"/>
        <c:axId val="576270896"/>
      </c:lineChart>
      <c:catAx>
        <c:axId val="576269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0896"/>
        <c:crosses val="autoZero"/>
        <c:auto val="1"/>
        <c:lblAlgn val="ctr"/>
        <c:lblOffset val="100"/>
        <c:noMultiLvlLbl val="0"/>
      </c:catAx>
      <c:valAx>
        <c:axId val="57627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69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 31-54</c:v>
                </c:pt>
                <c:pt idx="2">
                  <c:v>Old 55+</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700-4373-BB7F-113B06F517B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 31-54</c:v>
                </c:pt>
                <c:pt idx="2">
                  <c:v>Old 55+</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700-4373-BB7F-113B06F517B2}"/>
            </c:ext>
          </c:extLst>
        </c:ser>
        <c:dLbls>
          <c:showLegendKey val="0"/>
          <c:showVal val="0"/>
          <c:showCatName val="0"/>
          <c:showSerName val="0"/>
          <c:showPercent val="0"/>
          <c:showBubbleSize val="0"/>
        </c:dLbls>
        <c:marker val="1"/>
        <c:smooth val="0"/>
        <c:axId val="575408208"/>
        <c:axId val="575401728"/>
      </c:lineChart>
      <c:catAx>
        <c:axId val="575408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1728"/>
        <c:crosses val="autoZero"/>
        <c:auto val="1"/>
        <c:lblAlgn val="ctr"/>
        <c:lblOffset val="100"/>
        <c:noMultiLvlLbl val="0"/>
      </c:catAx>
      <c:valAx>
        <c:axId val="57540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2429-4B71-9FAF-A317673EBFA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2429-4B71-9FAF-A317673EBFAA}"/>
            </c:ext>
          </c:extLst>
        </c:ser>
        <c:dLbls>
          <c:showLegendKey val="0"/>
          <c:showVal val="0"/>
          <c:showCatName val="0"/>
          <c:showSerName val="0"/>
          <c:showPercent val="0"/>
          <c:showBubbleSize val="0"/>
        </c:dLbls>
        <c:gapWidth val="219"/>
        <c:overlap val="-27"/>
        <c:axId val="575401008"/>
        <c:axId val="575406048"/>
      </c:barChart>
      <c:catAx>
        <c:axId val="575401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6048"/>
        <c:crosses val="autoZero"/>
        <c:auto val="1"/>
        <c:lblAlgn val="ctr"/>
        <c:lblOffset val="100"/>
        <c:noMultiLvlLbl val="0"/>
      </c:catAx>
      <c:valAx>
        <c:axId val="575406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01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426720</xdr:colOff>
      <xdr:row>19</xdr:row>
      <xdr:rowOff>26670</xdr:rowOff>
    </xdr:from>
    <xdr:to>
      <xdr:col>12</xdr:col>
      <xdr:colOff>121920</xdr:colOff>
      <xdr:row>34</xdr:row>
      <xdr:rowOff>26670</xdr:rowOff>
    </xdr:to>
    <xdr:graphicFrame macro="">
      <xdr:nvGraphicFramePr>
        <xdr:cNvPr id="3" name="Chart 2">
          <a:extLst>
            <a:ext uri="{FF2B5EF4-FFF2-40B4-BE49-F238E27FC236}">
              <a16:creationId xmlns:a16="http://schemas.microsoft.com/office/drawing/2014/main" id="{2DEF469D-B55B-4BDE-B2F4-F88DEB000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41</xdr:row>
      <xdr:rowOff>87630</xdr:rowOff>
    </xdr:from>
    <xdr:to>
      <xdr:col>11</xdr:col>
      <xdr:colOff>472440</xdr:colOff>
      <xdr:row>56</xdr:row>
      <xdr:rowOff>87630</xdr:rowOff>
    </xdr:to>
    <xdr:graphicFrame macro="">
      <xdr:nvGraphicFramePr>
        <xdr:cNvPr id="4" name="Chart 3">
          <a:extLst>
            <a:ext uri="{FF2B5EF4-FFF2-40B4-BE49-F238E27FC236}">
              <a16:creationId xmlns:a16="http://schemas.microsoft.com/office/drawing/2014/main" id="{2754D43A-E94C-AD66-04D7-06EA2ED67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577742</xdr:colOff>
      <xdr:row>20</xdr:row>
      <xdr:rowOff>128530</xdr:rowOff>
    </xdr:from>
    <xdr:to>
      <xdr:col>14</xdr:col>
      <xdr:colOff>36722</xdr:colOff>
      <xdr:row>35</xdr:row>
      <xdr:rowOff>51411</xdr:rowOff>
    </xdr:to>
    <xdr:graphicFrame macro="">
      <xdr:nvGraphicFramePr>
        <xdr:cNvPr id="3" name="Chart 2">
          <a:extLst>
            <a:ext uri="{FF2B5EF4-FFF2-40B4-BE49-F238E27FC236}">
              <a16:creationId xmlns:a16="http://schemas.microsoft.com/office/drawing/2014/main" id="{CAA11D6E-F16A-4656-A5B7-AE420DF43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27542</xdr:colOff>
      <xdr:row>6</xdr:row>
      <xdr:rowOff>45903</xdr:rowOff>
    </xdr:from>
    <xdr:to>
      <xdr:col>14</xdr:col>
      <xdr:colOff>8186</xdr:colOff>
      <xdr:row>20</xdr:row>
      <xdr:rowOff>82627</xdr:rowOff>
    </xdr:to>
    <xdr:graphicFrame macro="">
      <xdr:nvGraphicFramePr>
        <xdr:cNvPr id="4" name="Chart 3">
          <a:extLst>
            <a:ext uri="{FF2B5EF4-FFF2-40B4-BE49-F238E27FC236}">
              <a16:creationId xmlns:a16="http://schemas.microsoft.com/office/drawing/2014/main" id="{2D7B4A51-E46A-4994-882F-85E8E46F4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20289</xdr:rowOff>
    </xdr:from>
    <xdr:to>
      <xdr:col>1</xdr:col>
      <xdr:colOff>560024</xdr:colOff>
      <xdr:row>10</xdr:row>
      <xdr:rowOff>165253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78AE995-2887-1F94-BFE4-F69B6D6E590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21976"/>
              <a:ext cx="1165952" cy="8794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23135</xdr:colOff>
      <xdr:row>16</xdr:row>
      <xdr:rowOff>174435</xdr:rowOff>
    </xdr:from>
    <xdr:to>
      <xdr:col>1</xdr:col>
      <xdr:colOff>514120</xdr:colOff>
      <xdr:row>26</xdr:row>
      <xdr:rowOff>64266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94483F6-9503-EDE0-CA2C-4F9DEBFD81C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3135" y="3112266"/>
              <a:ext cx="1096913" cy="1725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173884</xdr:rowOff>
    </xdr:from>
    <xdr:to>
      <xdr:col>1</xdr:col>
      <xdr:colOff>541662</xdr:colOff>
      <xdr:row>16</xdr:row>
      <xdr:rowOff>156074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C9CB8A8-01C7-99CA-BED1-7938957B66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10029"/>
              <a:ext cx="1147590" cy="10838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560024</xdr:colOff>
      <xdr:row>6</xdr:row>
      <xdr:rowOff>36723</xdr:rowOff>
    </xdr:from>
    <xdr:to>
      <xdr:col>7</xdr:col>
      <xdr:colOff>578386</xdr:colOff>
      <xdr:row>20</xdr:row>
      <xdr:rowOff>73445</xdr:rowOff>
    </xdr:to>
    <xdr:graphicFrame macro="">
      <xdr:nvGraphicFramePr>
        <xdr:cNvPr id="8" name="Chart 7">
          <a:extLst>
            <a:ext uri="{FF2B5EF4-FFF2-40B4-BE49-F238E27FC236}">
              <a16:creationId xmlns:a16="http://schemas.microsoft.com/office/drawing/2014/main" id="{6A551B52-7C5B-DBDC-A636-90F4B10B3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4.424283333334" createdVersion="8" refreshedVersion="8" minRefreshableVersion="3" recordCount="1000" xr:uid="{CED1C712-8019-4BE2-8F57-8CCCFA0E12F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5">
        <s v="Middle Age 31-54"/>
        <s v="Old 55+"/>
        <s v="Adolescent"/>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284797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C0B3D-9573-4605-9553-D2FB5EB059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DED10-07A4-4D9C-AF9C-F860286291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x="2"/>
        <item m="1" x="3"/>
        <item m="1" x="4"/>
        <item x="0"/>
        <item x="1"/>
        <item t="default"/>
      </items>
    </pivotField>
    <pivotField axis="axisCol" dataField="1" showAll="0">
      <items count="3">
        <item x="0"/>
        <item x="1"/>
        <item t="default"/>
      </items>
    </pivotField>
  </pivotFields>
  <rowFields count="1">
    <field x="12"/>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2A904-D3BA-4DEC-A110-AA38948DCB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D864DA1-F162-45DB-8CE4-DB821E646399}" sourceName="Marital Status">
  <pivotTables>
    <pivotTable tabId="3" name="PivotTable1"/>
    <pivotTable tabId="3" name="PivotTable2"/>
    <pivotTable tabId="3" name="PivotTable4"/>
  </pivotTables>
  <data>
    <tabular pivotCacheId="2847970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53080DA-414C-4105-87E3-270549E9A604}" sourceName="Education">
  <pivotTables>
    <pivotTable tabId="3" name="PivotTable1"/>
    <pivotTable tabId="3" name="PivotTable2"/>
    <pivotTable tabId="3" name="PivotTable4"/>
  </pivotTables>
  <data>
    <tabular pivotCacheId="28479709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A018B2-FBFE-4CDA-B68D-F467B4C6EDFA}" sourceName="Region">
  <pivotTables>
    <pivotTable tabId="3" name="PivotTable1"/>
    <pivotTable tabId="3" name="PivotTable2"/>
    <pivotTable tabId="3" name="PivotTable4"/>
  </pivotTables>
  <data>
    <tabular pivotCacheId="2847970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F0E231-E216-436F-9F8C-4254F03C1B8D}" cache="Slicer_Marital_Status" caption="Marital Status" rowHeight="234950"/>
  <slicer name="Education" xr10:uid="{78F368C4-C844-4DC8-AA7F-89C25D79C36A}" cache="Slicer_Education" caption="Education" rowHeight="234950"/>
  <slicer name="Region" xr10:uid="{FE80547D-F9DB-45EB-AE19-67E0D806B4F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965" workbookViewId="0">
      <selection activeCell="G1004" sqref="G1004"/>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B67E-91C1-4588-A4F0-A43F71C07706}">
  <dimension ref="A1:N1001"/>
  <sheetViews>
    <sheetView workbookViewId="0">
      <selection activeCell="K7" sqref="K7"/>
    </sheetView>
  </sheetViews>
  <sheetFormatPr defaultRowHeight="14.5" x14ac:dyDescent="0.35"/>
  <cols>
    <col min="4" max="4" width="14.36328125" style="3" customWidth="1"/>
    <col min="7" max="7" width="14.90625" customWidth="1"/>
    <col min="13" max="13" width="16.54296875" customWidth="1"/>
    <col min="14" max="14" width="13.453125" customWidth="1"/>
  </cols>
  <sheetData>
    <row r="1" spans="1:14" x14ac:dyDescent="0.35">
      <c r="A1" t="s">
        <v>0</v>
      </c>
      <c r="B1" t="s">
        <v>1</v>
      </c>
      <c r="C1" t="s">
        <v>2</v>
      </c>
      <c r="D1" s="3" t="s">
        <v>3</v>
      </c>
      <c r="E1" t="s">
        <v>4</v>
      </c>
      <c r="F1" t="s">
        <v>5</v>
      </c>
      <c r="G1" t="s">
        <v>6</v>
      </c>
      <c r="H1" t="s">
        <v>7</v>
      </c>
      <c r="I1" t="s">
        <v>8</v>
      </c>
      <c r="J1" t="s">
        <v>9</v>
      </c>
      <c r="K1" t="s">
        <v>10</v>
      </c>
      <c r="L1" t="s">
        <v>11</v>
      </c>
      <c r="M1" t="s">
        <v>46</v>
      </c>
      <c r="N1" t="s">
        <v>12</v>
      </c>
    </row>
    <row r="2" spans="1:14" x14ac:dyDescent="0.35">
      <c r="A2">
        <v>12496</v>
      </c>
      <c r="B2" t="s">
        <v>36</v>
      </c>
      <c r="C2" t="s">
        <v>39</v>
      </c>
      <c r="D2" s="3">
        <v>40000</v>
      </c>
      <c r="E2">
        <v>1</v>
      </c>
      <c r="F2" t="s">
        <v>13</v>
      </c>
      <c r="G2" t="s">
        <v>14</v>
      </c>
      <c r="H2" t="s">
        <v>15</v>
      </c>
      <c r="I2">
        <v>0</v>
      </c>
      <c r="J2" t="s">
        <v>16</v>
      </c>
      <c r="K2" t="s">
        <v>17</v>
      </c>
      <c r="L2">
        <v>42</v>
      </c>
      <c r="M2" t="str">
        <f>IF(L2&gt;54,"Old 55+",IF(L2&gt;=31,"Middle Age 31-54",IF(L2&lt;310-30,"Adolescent","Invalid")))</f>
        <v>Middle Age 31-54</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 55+",IF(L3&gt;=31,"Middle Age 31-54",IF(L3&lt;310-30,"Adolescent","Invalid")))</f>
        <v>Middle Age 31-54</v>
      </c>
      <c r="N3" t="s">
        <v>18</v>
      </c>
    </row>
    <row r="4" spans="1:14" x14ac:dyDescent="0.35">
      <c r="A4">
        <v>14177</v>
      </c>
      <c r="B4" t="s">
        <v>36</v>
      </c>
      <c r="C4" t="s">
        <v>38</v>
      </c>
      <c r="D4" s="3">
        <v>80000</v>
      </c>
      <c r="E4">
        <v>5</v>
      </c>
      <c r="F4" t="s">
        <v>19</v>
      </c>
      <c r="G4" t="s">
        <v>21</v>
      </c>
      <c r="H4" t="s">
        <v>18</v>
      </c>
      <c r="I4">
        <v>2</v>
      </c>
      <c r="J4" t="s">
        <v>22</v>
      </c>
      <c r="K4" t="s">
        <v>17</v>
      </c>
      <c r="L4">
        <v>60</v>
      </c>
      <c r="M4" t="str">
        <f t="shared" si="0"/>
        <v>Old 55+</v>
      </c>
      <c r="N4" t="s">
        <v>18</v>
      </c>
    </row>
    <row r="5" spans="1:14" x14ac:dyDescent="0.35">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39</v>
      </c>
      <c r="D13" s="3">
        <v>90000</v>
      </c>
      <c r="E13">
        <v>0</v>
      </c>
      <c r="F13" t="s">
        <v>13</v>
      </c>
      <c r="G13" t="s">
        <v>21</v>
      </c>
      <c r="H13" t="s">
        <v>18</v>
      </c>
      <c r="I13">
        <v>4</v>
      </c>
      <c r="J13" t="s">
        <v>45</v>
      </c>
      <c r="K13" t="s">
        <v>24</v>
      </c>
      <c r="L13">
        <v>36</v>
      </c>
      <c r="M13" t="str">
        <f t="shared" si="0"/>
        <v>Middle Age 31-54</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39</v>
      </c>
      <c r="D23" s="3">
        <v>80000</v>
      </c>
      <c r="E23">
        <v>0</v>
      </c>
      <c r="F23" t="s">
        <v>13</v>
      </c>
      <c r="G23" t="s">
        <v>21</v>
      </c>
      <c r="H23" t="s">
        <v>15</v>
      </c>
      <c r="I23">
        <v>4</v>
      </c>
      <c r="J23" t="s">
        <v>45</v>
      </c>
      <c r="K23" t="s">
        <v>24</v>
      </c>
      <c r="L23">
        <v>35</v>
      </c>
      <c r="M23" t="str">
        <f t="shared" si="0"/>
        <v>Middle Age 31-54</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45</v>
      </c>
      <c r="K53" t="s">
        <v>24</v>
      </c>
      <c r="L53">
        <v>35</v>
      </c>
      <c r="M53" t="str">
        <f t="shared" si="0"/>
        <v>Middle Age 31-54</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38</v>
      </c>
      <c r="D57" s="3">
        <v>80000</v>
      </c>
      <c r="E57">
        <v>4</v>
      </c>
      <c r="F57" t="s">
        <v>27</v>
      </c>
      <c r="G57" t="s">
        <v>21</v>
      </c>
      <c r="H57" t="s">
        <v>15</v>
      </c>
      <c r="I57">
        <v>2</v>
      </c>
      <c r="J57" t="s">
        <v>45</v>
      </c>
      <c r="K57" t="s">
        <v>17</v>
      </c>
      <c r="L57">
        <v>54</v>
      </c>
      <c r="M57" t="str">
        <f t="shared" si="0"/>
        <v>Middle Age 31-54</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38</v>
      </c>
      <c r="D65" s="3">
        <v>60000</v>
      </c>
      <c r="E65">
        <v>4</v>
      </c>
      <c r="F65" t="s">
        <v>13</v>
      </c>
      <c r="G65" t="s">
        <v>21</v>
      </c>
      <c r="H65" t="s">
        <v>15</v>
      </c>
      <c r="I65">
        <v>3</v>
      </c>
      <c r="J65" t="s">
        <v>45</v>
      </c>
      <c r="K65" t="s">
        <v>24</v>
      </c>
      <c r="L65">
        <v>41</v>
      </c>
      <c r="M65" t="str">
        <f t="shared" si="0"/>
        <v>Middle Age 31-54</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31-54",IF(L67&lt;310-30,"Adolescent","Invalid")))</f>
        <v>Old 55+</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45</v>
      </c>
      <c r="K72" t="s">
        <v>24</v>
      </c>
      <c r="L72">
        <v>36</v>
      </c>
      <c r="M72" t="str">
        <f t="shared" si="1"/>
        <v>Middle Age 31-54</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39</v>
      </c>
      <c r="D97" s="3">
        <v>90000</v>
      </c>
      <c r="E97">
        <v>5</v>
      </c>
      <c r="F97" t="s">
        <v>19</v>
      </c>
      <c r="G97" t="s">
        <v>21</v>
      </c>
      <c r="H97" t="s">
        <v>15</v>
      </c>
      <c r="I97">
        <v>2</v>
      </c>
      <c r="J97" t="s">
        <v>45</v>
      </c>
      <c r="K97" t="s">
        <v>17</v>
      </c>
      <c r="L97">
        <v>62</v>
      </c>
      <c r="M97" t="str">
        <f t="shared" si="1"/>
        <v>Old 55+</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39</v>
      </c>
      <c r="D124" s="3">
        <v>80000</v>
      </c>
      <c r="E124">
        <v>0</v>
      </c>
      <c r="F124" t="s">
        <v>13</v>
      </c>
      <c r="G124" t="s">
        <v>21</v>
      </c>
      <c r="H124" t="s">
        <v>18</v>
      </c>
      <c r="I124">
        <v>3</v>
      </c>
      <c r="J124" t="s">
        <v>45</v>
      </c>
      <c r="K124" t="s">
        <v>24</v>
      </c>
      <c r="L124">
        <v>31</v>
      </c>
      <c r="M124" t="str">
        <f t="shared" si="1"/>
        <v>Middle Age 31-54</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31-54",IF(L131&lt;310-30,"Adolescent","Invalid")))</f>
        <v>Middle Age 31-54</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39</v>
      </c>
      <c r="D145" s="3">
        <v>80000</v>
      </c>
      <c r="E145">
        <v>0</v>
      </c>
      <c r="F145" t="s">
        <v>13</v>
      </c>
      <c r="G145" t="s">
        <v>21</v>
      </c>
      <c r="H145" t="s">
        <v>15</v>
      </c>
      <c r="I145">
        <v>3</v>
      </c>
      <c r="J145" t="s">
        <v>45</v>
      </c>
      <c r="K145" t="s">
        <v>24</v>
      </c>
      <c r="L145">
        <v>32</v>
      </c>
      <c r="M145" t="str">
        <f t="shared" si="2"/>
        <v>Middle Age 31-54</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38</v>
      </c>
      <c r="D169" s="3">
        <v>100000</v>
      </c>
      <c r="E169">
        <v>0</v>
      </c>
      <c r="F169" t="s">
        <v>27</v>
      </c>
      <c r="G169" t="s">
        <v>28</v>
      </c>
      <c r="H169" t="s">
        <v>15</v>
      </c>
      <c r="I169">
        <v>3</v>
      </c>
      <c r="J169" t="s">
        <v>45</v>
      </c>
      <c r="K169" t="s">
        <v>24</v>
      </c>
      <c r="L169">
        <v>35</v>
      </c>
      <c r="M169" t="str">
        <f t="shared" si="2"/>
        <v>Middle Age 31-54</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38</v>
      </c>
      <c r="D180" s="3">
        <v>160000</v>
      </c>
      <c r="E180">
        <v>4</v>
      </c>
      <c r="F180" t="s">
        <v>19</v>
      </c>
      <c r="G180" t="s">
        <v>21</v>
      </c>
      <c r="H180" t="s">
        <v>18</v>
      </c>
      <c r="I180">
        <v>2</v>
      </c>
      <c r="J180" t="s">
        <v>45</v>
      </c>
      <c r="K180" t="s">
        <v>17</v>
      </c>
      <c r="L180">
        <v>55</v>
      </c>
      <c r="M180" t="str">
        <f t="shared" si="2"/>
        <v>Old 55+</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39</v>
      </c>
      <c r="D186" s="3">
        <v>130000</v>
      </c>
      <c r="E186">
        <v>4</v>
      </c>
      <c r="F186" t="s">
        <v>27</v>
      </c>
      <c r="G186" t="s">
        <v>28</v>
      </c>
      <c r="H186" t="s">
        <v>18</v>
      </c>
      <c r="I186">
        <v>4</v>
      </c>
      <c r="J186" t="s">
        <v>45</v>
      </c>
      <c r="K186" t="s">
        <v>17</v>
      </c>
      <c r="L186">
        <v>58</v>
      </c>
      <c r="M186" t="str">
        <f t="shared" si="2"/>
        <v>Old 55+</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38</v>
      </c>
      <c r="D189" s="3">
        <v>80000</v>
      </c>
      <c r="E189">
        <v>5</v>
      </c>
      <c r="F189" t="s">
        <v>19</v>
      </c>
      <c r="G189" t="s">
        <v>21</v>
      </c>
      <c r="H189" t="s">
        <v>18</v>
      </c>
      <c r="I189">
        <v>2</v>
      </c>
      <c r="J189" t="s">
        <v>45</v>
      </c>
      <c r="K189" t="s">
        <v>17</v>
      </c>
      <c r="L189">
        <v>59</v>
      </c>
      <c r="M189" t="str">
        <f t="shared" si="2"/>
        <v>Old 55+</v>
      </c>
      <c r="N189" t="s">
        <v>18</v>
      </c>
    </row>
    <row r="190" spans="1:14" x14ac:dyDescent="0.35">
      <c r="A190">
        <v>20606</v>
      </c>
      <c r="B190" t="s">
        <v>36</v>
      </c>
      <c r="C190" t="s">
        <v>39</v>
      </c>
      <c r="D190" s="3">
        <v>70000</v>
      </c>
      <c r="E190">
        <v>0</v>
      </c>
      <c r="F190" t="s">
        <v>13</v>
      </c>
      <c r="G190" t="s">
        <v>21</v>
      </c>
      <c r="H190" t="s">
        <v>15</v>
      </c>
      <c r="I190">
        <v>4</v>
      </c>
      <c r="J190" t="s">
        <v>45</v>
      </c>
      <c r="K190" t="s">
        <v>24</v>
      </c>
      <c r="L190">
        <v>32</v>
      </c>
      <c r="M190" t="str">
        <f t="shared" si="2"/>
        <v>Middle Age 31-54</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39</v>
      </c>
      <c r="D194" s="3">
        <v>80000</v>
      </c>
      <c r="E194">
        <v>5</v>
      </c>
      <c r="F194" t="s">
        <v>13</v>
      </c>
      <c r="G194" t="s">
        <v>28</v>
      </c>
      <c r="H194" t="s">
        <v>15</v>
      </c>
      <c r="I194">
        <v>2</v>
      </c>
      <c r="J194" t="s">
        <v>45</v>
      </c>
      <c r="K194" t="s">
        <v>17</v>
      </c>
      <c r="L194">
        <v>62</v>
      </c>
      <c r="M194" t="str">
        <f t="shared" si="2"/>
        <v>Old 55+</v>
      </c>
      <c r="N194" t="s">
        <v>18</v>
      </c>
    </row>
    <row r="195" spans="1:14" x14ac:dyDescent="0.35">
      <c r="A195">
        <v>26032</v>
      </c>
      <c r="B195" t="s">
        <v>36</v>
      </c>
      <c r="C195" t="s">
        <v>39</v>
      </c>
      <c r="D195" s="3">
        <v>70000</v>
      </c>
      <c r="E195">
        <v>5</v>
      </c>
      <c r="F195" t="s">
        <v>13</v>
      </c>
      <c r="G195" t="s">
        <v>21</v>
      </c>
      <c r="H195" t="s">
        <v>15</v>
      </c>
      <c r="I195">
        <v>4</v>
      </c>
      <c r="J195" t="s">
        <v>45</v>
      </c>
      <c r="K195" t="s">
        <v>24</v>
      </c>
      <c r="L195">
        <v>41</v>
      </c>
      <c r="M195" t="str">
        <f t="shared" ref="M195:M258" si="3">IF(L195&gt;54,"Old 55+",IF(L195&gt;=31,"Middle Age 31-54",IF(L195&lt;310-30,"Adolescent","Invalid")))</f>
        <v>Middle Age 31-54</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38</v>
      </c>
      <c r="D201" s="3">
        <v>80000</v>
      </c>
      <c r="E201">
        <v>0</v>
      </c>
      <c r="F201" t="s">
        <v>13</v>
      </c>
      <c r="G201" t="s">
        <v>21</v>
      </c>
      <c r="H201" t="s">
        <v>18</v>
      </c>
      <c r="I201">
        <v>3</v>
      </c>
      <c r="J201" t="s">
        <v>45</v>
      </c>
      <c r="K201" t="s">
        <v>24</v>
      </c>
      <c r="L201">
        <v>33</v>
      </c>
      <c r="M201" t="str">
        <f t="shared" si="3"/>
        <v>Middle Age 31-54</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38</v>
      </c>
      <c r="D208" s="3">
        <v>90000</v>
      </c>
      <c r="E208">
        <v>5</v>
      </c>
      <c r="F208" t="s">
        <v>19</v>
      </c>
      <c r="G208" t="s">
        <v>21</v>
      </c>
      <c r="H208" t="s">
        <v>18</v>
      </c>
      <c r="I208">
        <v>2</v>
      </c>
      <c r="J208" t="s">
        <v>45</v>
      </c>
      <c r="K208" t="s">
        <v>17</v>
      </c>
      <c r="L208">
        <v>62</v>
      </c>
      <c r="M208" t="str">
        <f t="shared" si="3"/>
        <v>Old 55+</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45</v>
      </c>
      <c r="K215" t="s">
        <v>24</v>
      </c>
      <c r="L215">
        <v>31</v>
      </c>
      <c r="M215" t="str">
        <f t="shared" si="3"/>
        <v>Middle Age 31-54</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39</v>
      </c>
      <c r="D225" s="3">
        <v>70000</v>
      </c>
      <c r="E225">
        <v>5</v>
      </c>
      <c r="F225" t="s">
        <v>13</v>
      </c>
      <c r="G225" t="s">
        <v>21</v>
      </c>
      <c r="H225" t="s">
        <v>15</v>
      </c>
      <c r="I225">
        <v>4</v>
      </c>
      <c r="J225" t="s">
        <v>45</v>
      </c>
      <c r="K225" t="s">
        <v>24</v>
      </c>
      <c r="L225">
        <v>39</v>
      </c>
      <c r="M225" t="str">
        <f t="shared" si="3"/>
        <v>Middle Age 31-54</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38</v>
      </c>
      <c r="D231" s="3">
        <v>80000</v>
      </c>
      <c r="E231">
        <v>5</v>
      </c>
      <c r="F231" t="s">
        <v>27</v>
      </c>
      <c r="G231" t="s">
        <v>28</v>
      </c>
      <c r="H231" t="s">
        <v>15</v>
      </c>
      <c r="I231">
        <v>3</v>
      </c>
      <c r="J231" t="s">
        <v>45</v>
      </c>
      <c r="K231" t="s">
        <v>17</v>
      </c>
      <c r="L231">
        <v>57</v>
      </c>
      <c r="M231" t="str">
        <f t="shared" si="3"/>
        <v>Old 55+</v>
      </c>
      <c r="N231" t="s">
        <v>18</v>
      </c>
    </row>
    <row r="232" spans="1:14" x14ac:dyDescent="0.35">
      <c r="A232">
        <v>22830</v>
      </c>
      <c r="B232" t="s">
        <v>36</v>
      </c>
      <c r="C232" t="s">
        <v>38</v>
      </c>
      <c r="D232" s="3">
        <v>120000</v>
      </c>
      <c r="E232">
        <v>4</v>
      </c>
      <c r="F232" t="s">
        <v>19</v>
      </c>
      <c r="G232" t="s">
        <v>28</v>
      </c>
      <c r="H232" t="s">
        <v>15</v>
      </c>
      <c r="I232">
        <v>3</v>
      </c>
      <c r="J232" t="s">
        <v>45</v>
      </c>
      <c r="K232" t="s">
        <v>17</v>
      </c>
      <c r="L232">
        <v>56</v>
      </c>
      <c r="M232" t="str">
        <f t="shared" si="3"/>
        <v>Old 55+</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45</v>
      </c>
      <c r="K236" t="s">
        <v>24</v>
      </c>
      <c r="L236">
        <v>35</v>
      </c>
      <c r="M236" t="str">
        <f t="shared" si="3"/>
        <v>Middle Age 31-54</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45</v>
      </c>
      <c r="K246" t="s">
        <v>17</v>
      </c>
      <c r="L246">
        <v>52</v>
      </c>
      <c r="M246" t="str">
        <f t="shared" si="3"/>
        <v>Middle Age 31-54</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39</v>
      </c>
      <c r="D249" s="3">
        <v>100000</v>
      </c>
      <c r="E249">
        <v>0</v>
      </c>
      <c r="F249" t="s">
        <v>27</v>
      </c>
      <c r="G249" t="s">
        <v>28</v>
      </c>
      <c r="H249" t="s">
        <v>15</v>
      </c>
      <c r="I249">
        <v>4</v>
      </c>
      <c r="J249" t="s">
        <v>45</v>
      </c>
      <c r="K249" t="s">
        <v>24</v>
      </c>
      <c r="L249">
        <v>34</v>
      </c>
      <c r="M249" t="str">
        <f t="shared" si="3"/>
        <v>Middle Age 31-54</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38</v>
      </c>
      <c r="D255" s="3">
        <v>100000</v>
      </c>
      <c r="E255">
        <v>3</v>
      </c>
      <c r="F255" t="s">
        <v>29</v>
      </c>
      <c r="G255" t="s">
        <v>21</v>
      </c>
      <c r="H255" t="s">
        <v>15</v>
      </c>
      <c r="I255">
        <v>0</v>
      </c>
      <c r="J255" t="s">
        <v>45</v>
      </c>
      <c r="K255" t="s">
        <v>17</v>
      </c>
      <c r="L255">
        <v>59</v>
      </c>
      <c r="M255" t="str">
        <f t="shared" si="3"/>
        <v>Old 55+</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31-54",IF(L259&lt;310-30,"Adolescent","Invalid")))</f>
        <v>Middle Age 31-54</v>
      </c>
      <c r="N259" t="s">
        <v>15</v>
      </c>
    </row>
    <row r="260" spans="1:14" x14ac:dyDescent="0.35">
      <c r="A260">
        <v>14193</v>
      </c>
      <c r="B260" t="s">
        <v>37</v>
      </c>
      <c r="C260" t="s">
        <v>39</v>
      </c>
      <c r="D260" s="3">
        <v>100000</v>
      </c>
      <c r="E260">
        <v>3</v>
      </c>
      <c r="F260" t="s">
        <v>19</v>
      </c>
      <c r="G260" t="s">
        <v>28</v>
      </c>
      <c r="H260" t="s">
        <v>15</v>
      </c>
      <c r="I260">
        <v>4</v>
      </c>
      <c r="J260" t="s">
        <v>45</v>
      </c>
      <c r="K260" t="s">
        <v>17</v>
      </c>
      <c r="L260">
        <v>56</v>
      </c>
      <c r="M260" t="str">
        <f t="shared" si="4"/>
        <v>Old 55+</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39</v>
      </c>
      <c r="D265" s="3">
        <v>70000</v>
      </c>
      <c r="E265">
        <v>5</v>
      </c>
      <c r="F265" t="s">
        <v>13</v>
      </c>
      <c r="G265" t="s">
        <v>21</v>
      </c>
      <c r="H265" t="s">
        <v>15</v>
      </c>
      <c r="I265">
        <v>3</v>
      </c>
      <c r="J265" t="s">
        <v>45</v>
      </c>
      <c r="K265" t="s">
        <v>24</v>
      </c>
      <c r="L265">
        <v>39</v>
      </c>
      <c r="M265" t="str">
        <f t="shared" si="4"/>
        <v>Middle Age 31-54</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38</v>
      </c>
      <c r="D280" s="3">
        <v>100000</v>
      </c>
      <c r="E280">
        <v>0</v>
      </c>
      <c r="F280" t="s">
        <v>27</v>
      </c>
      <c r="G280" t="s">
        <v>28</v>
      </c>
      <c r="H280" t="s">
        <v>15</v>
      </c>
      <c r="I280">
        <v>3</v>
      </c>
      <c r="J280" t="s">
        <v>45</v>
      </c>
      <c r="K280" t="s">
        <v>24</v>
      </c>
      <c r="L280">
        <v>35</v>
      </c>
      <c r="M280" t="str">
        <f t="shared" si="4"/>
        <v>Middle Age 31-54</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39</v>
      </c>
      <c r="D297" s="3">
        <v>110000</v>
      </c>
      <c r="E297">
        <v>0</v>
      </c>
      <c r="F297" t="s">
        <v>19</v>
      </c>
      <c r="G297" t="s">
        <v>28</v>
      </c>
      <c r="H297" t="s">
        <v>15</v>
      </c>
      <c r="I297">
        <v>3</v>
      </c>
      <c r="J297" t="s">
        <v>45</v>
      </c>
      <c r="K297" t="s">
        <v>24</v>
      </c>
      <c r="L297">
        <v>32</v>
      </c>
      <c r="M297" t="str">
        <f t="shared" si="4"/>
        <v>Middle Age 31-54</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38</v>
      </c>
      <c r="D320" s="3">
        <v>130000</v>
      </c>
      <c r="E320">
        <v>4</v>
      </c>
      <c r="F320" t="s">
        <v>19</v>
      </c>
      <c r="G320" t="s">
        <v>21</v>
      </c>
      <c r="H320" t="s">
        <v>18</v>
      </c>
      <c r="I320">
        <v>3</v>
      </c>
      <c r="J320" t="s">
        <v>45</v>
      </c>
      <c r="K320" t="s">
        <v>17</v>
      </c>
      <c r="L320">
        <v>54</v>
      </c>
      <c r="M320" t="str">
        <f t="shared" si="4"/>
        <v>Middle Age 31-54</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31-54",IF(L323&lt;310-30,"Adolescent","Invalid")))</f>
        <v>Middle Age 31-54</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39</v>
      </c>
      <c r="D331" s="3">
        <v>90000</v>
      </c>
      <c r="E331">
        <v>5</v>
      </c>
      <c r="F331" t="s">
        <v>29</v>
      </c>
      <c r="G331" t="s">
        <v>14</v>
      </c>
      <c r="H331" t="s">
        <v>15</v>
      </c>
      <c r="I331">
        <v>2</v>
      </c>
      <c r="J331" t="s">
        <v>45</v>
      </c>
      <c r="K331" t="s">
        <v>17</v>
      </c>
      <c r="L331">
        <v>59</v>
      </c>
      <c r="M331" t="str">
        <f t="shared" si="5"/>
        <v>Old 55+</v>
      </c>
      <c r="N331" t="s">
        <v>18</v>
      </c>
    </row>
    <row r="332" spans="1:14" x14ac:dyDescent="0.35">
      <c r="A332">
        <v>24898</v>
      </c>
      <c r="B332" t="s">
        <v>37</v>
      </c>
      <c r="C332" t="s">
        <v>39</v>
      </c>
      <c r="D332" s="3">
        <v>80000</v>
      </c>
      <c r="E332">
        <v>0</v>
      </c>
      <c r="F332" t="s">
        <v>13</v>
      </c>
      <c r="G332" t="s">
        <v>21</v>
      </c>
      <c r="H332" t="s">
        <v>15</v>
      </c>
      <c r="I332">
        <v>3</v>
      </c>
      <c r="J332" t="s">
        <v>45</v>
      </c>
      <c r="K332" t="s">
        <v>24</v>
      </c>
      <c r="L332">
        <v>32</v>
      </c>
      <c r="M332" t="str">
        <f t="shared" si="5"/>
        <v>Middle Age 31-54</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38</v>
      </c>
      <c r="D357" s="3">
        <v>80000</v>
      </c>
      <c r="E357">
        <v>0</v>
      </c>
      <c r="F357" t="s">
        <v>13</v>
      </c>
      <c r="G357" t="s">
        <v>21</v>
      </c>
      <c r="H357" t="s">
        <v>15</v>
      </c>
      <c r="I357">
        <v>3</v>
      </c>
      <c r="J357" t="s">
        <v>45</v>
      </c>
      <c r="K357" t="s">
        <v>24</v>
      </c>
      <c r="L357">
        <v>32</v>
      </c>
      <c r="M357" t="str">
        <f t="shared" si="5"/>
        <v>Middle Age 31-54</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39</v>
      </c>
      <c r="D372" s="3">
        <v>100000</v>
      </c>
      <c r="E372">
        <v>4</v>
      </c>
      <c r="F372" t="s">
        <v>13</v>
      </c>
      <c r="G372" t="s">
        <v>21</v>
      </c>
      <c r="H372" t="s">
        <v>15</v>
      </c>
      <c r="I372">
        <v>1</v>
      </c>
      <c r="J372" t="s">
        <v>45</v>
      </c>
      <c r="K372" t="s">
        <v>24</v>
      </c>
      <c r="L372">
        <v>46</v>
      </c>
      <c r="M372" t="str">
        <f t="shared" si="5"/>
        <v>Middle Age 31-54</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38</v>
      </c>
      <c r="D384" s="3">
        <v>80000</v>
      </c>
      <c r="E384">
        <v>4</v>
      </c>
      <c r="F384" t="s">
        <v>19</v>
      </c>
      <c r="G384" t="s">
        <v>21</v>
      </c>
      <c r="H384" t="s">
        <v>15</v>
      </c>
      <c r="I384">
        <v>2</v>
      </c>
      <c r="J384" t="s">
        <v>45</v>
      </c>
      <c r="K384" t="s">
        <v>17</v>
      </c>
      <c r="L384">
        <v>53</v>
      </c>
      <c r="M384" t="str">
        <f t="shared" si="5"/>
        <v>Middle Age 31-54</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31-54",IF(L387&lt;310-30,"Adolescent","Invalid")))</f>
        <v>Middle Age 31-54</v>
      </c>
      <c r="N387" t="s">
        <v>18</v>
      </c>
    </row>
    <row r="388" spans="1:14" x14ac:dyDescent="0.35">
      <c r="A388">
        <v>28957</v>
      </c>
      <c r="B388" t="s">
        <v>37</v>
      </c>
      <c r="C388" t="s">
        <v>39</v>
      </c>
      <c r="D388" s="3">
        <v>120000</v>
      </c>
      <c r="E388">
        <v>0</v>
      </c>
      <c r="F388" t="s">
        <v>29</v>
      </c>
      <c r="G388" t="s">
        <v>21</v>
      </c>
      <c r="H388" t="s">
        <v>15</v>
      </c>
      <c r="I388">
        <v>4</v>
      </c>
      <c r="J388" t="s">
        <v>45</v>
      </c>
      <c r="K388" t="s">
        <v>24</v>
      </c>
      <c r="L388">
        <v>34</v>
      </c>
      <c r="M388" t="str">
        <f t="shared" si="6"/>
        <v>Middle Age 31-54</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39</v>
      </c>
      <c r="D402" s="3">
        <v>110000</v>
      </c>
      <c r="E402">
        <v>3</v>
      </c>
      <c r="F402" t="s">
        <v>13</v>
      </c>
      <c r="G402" t="s">
        <v>28</v>
      </c>
      <c r="H402" t="s">
        <v>15</v>
      </c>
      <c r="I402">
        <v>4</v>
      </c>
      <c r="J402" t="s">
        <v>45</v>
      </c>
      <c r="K402" t="s">
        <v>17</v>
      </c>
      <c r="L402">
        <v>53</v>
      </c>
      <c r="M402" t="str">
        <f t="shared" si="6"/>
        <v>Middle Age 31-54</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39</v>
      </c>
      <c r="D422" s="3">
        <v>100000</v>
      </c>
      <c r="E422">
        <v>2</v>
      </c>
      <c r="F422" t="s">
        <v>13</v>
      </c>
      <c r="G422" t="s">
        <v>28</v>
      </c>
      <c r="H422" t="s">
        <v>15</v>
      </c>
      <c r="I422">
        <v>4</v>
      </c>
      <c r="J422" t="s">
        <v>45</v>
      </c>
      <c r="K422" t="s">
        <v>17</v>
      </c>
      <c r="L422">
        <v>59</v>
      </c>
      <c r="M422" t="str">
        <f t="shared" si="6"/>
        <v>Old 55+</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38</v>
      </c>
      <c r="D424" s="3">
        <v>110000</v>
      </c>
      <c r="E424">
        <v>0</v>
      </c>
      <c r="F424" t="s">
        <v>19</v>
      </c>
      <c r="G424" t="s">
        <v>28</v>
      </c>
      <c r="H424" t="s">
        <v>18</v>
      </c>
      <c r="I424">
        <v>3</v>
      </c>
      <c r="J424" t="s">
        <v>45</v>
      </c>
      <c r="K424" t="s">
        <v>24</v>
      </c>
      <c r="L424">
        <v>32</v>
      </c>
      <c r="M424" t="str">
        <f t="shared" si="6"/>
        <v>Middle Age 31-54</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45</v>
      </c>
      <c r="K434" t="s">
        <v>24</v>
      </c>
      <c r="L434">
        <v>34</v>
      </c>
      <c r="M434" t="str">
        <f t="shared" si="6"/>
        <v>Middle Age 31-54</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38</v>
      </c>
      <c r="D442" s="3">
        <v>90000</v>
      </c>
      <c r="E442">
        <v>0</v>
      </c>
      <c r="F442" t="s">
        <v>13</v>
      </c>
      <c r="G442" t="s">
        <v>21</v>
      </c>
      <c r="H442" t="s">
        <v>18</v>
      </c>
      <c r="I442">
        <v>3</v>
      </c>
      <c r="J442" t="s">
        <v>45</v>
      </c>
      <c r="K442" t="s">
        <v>24</v>
      </c>
      <c r="L442">
        <v>34</v>
      </c>
      <c r="M442" t="str">
        <f t="shared" si="6"/>
        <v>Middle Age 31-54</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39</v>
      </c>
      <c r="D448" s="3">
        <v>130000</v>
      </c>
      <c r="E448">
        <v>0</v>
      </c>
      <c r="F448" t="s">
        <v>31</v>
      </c>
      <c r="G448" t="s">
        <v>28</v>
      </c>
      <c r="H448" t="s">
        <v>15</v>
      </c>
      <c r="I448">
        <v>1</v>
      </c>
      <c r="J448" t="s">
        <v>45</v>
      </c>
      <c r="K448" t="s">
        <v>24</v>
      </c>
      <c r="L448">
        <v>48</v>
      </c>
      <c r="M448" t="str">
        <f t="shared" si="6"/>
        <v>Middle Age 31-54</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31-54",IF(L451&lt;310-30,"Adolescent","Invalid")))</f>
        <v>Middle Age 31-54</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38</v>
      </c>
      <c r="D460" s="3">
        <v>120000</v>
      </c>
      <c r="E460">
        <v>0</v>
      </c>
      <c r="F460" t="s">
        <v>29</v>
      </c>
      <c r="G460" t="s">
        <v>21</v>
      </c>
      <c r="H460" t="s">
        <v>15</v>
      </c>
      <c r="I460">
        <v>4</v>
      </c>
      <c r="J460" t="s">
        <v>45</v>
      </c>
      <c r="K460" t="s">
        <v>24</v>
      </c>
      <c r="L460">
        <v>32</v>
      </c>
      <c r="M460" t="str">
        <f t="shared" si="7"/>
        <v>Middle Age 31-54</v>
      </c>
      <c r="N460" t="s">
        <v>15</v>
      </c>
    </row>
    <row r="461" spans="1:14" x14ac:dyDescent="0.35">
      <c r="A461">
        <v>21554</v>
      </c>
      <c r="B461" t="s">
        <v>37</v>
      </c>
      <c r="C461" t="s">
        <v>39</v>
      </c>
      <c r="D461" s="3">
        <v>80000</v>
      </c>
      <c r="E461">
        <v>0</v>
      </c>
      <c r="F461" t="s">
        <v>13</v>
      </c>
      <c r="G461" t="s">
        <v>21</v>
      </c>
      <c r="H461" t="s">
        <v>18</v>
      </c>
      <c r="I461">
        <v>3</v>
      </c>
      <c r="J461" t="s">
        <v>45</v>
      </c>
      <c r="K461" t="s">
        <v>24</v>
      </c>
      <c r="L461">
        <v>33</v>
      </c>
      <c r="M461" t="str">
        <f t="shared" si="7"/>
        <v>Middle Age 31-54</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39</v>
      </c>
      <c r="D488" s="3">
        <v>90000</v>
      </c>
      <c r="E488">
        <v>4</v>
      </c>
      <c r="F488" t="s">
        <v>29</v>
      </c>
      <c r="G488" t="s">
        <v>14</v>
      </c>
      <c r="H488" t="s">
        <v>15</v>
      </c>
      <c r="I488">
        <v>4</v>
      </c>
      <c r="J488" t="s">
        <v>45</v>
      </c>
      <c r="K488" t="s">
        <v>17</v>
      </c>
      <c r="L488">
        <v>58</v>
      </c>
      <c r="M488" t="str">
        <f t="shared" si="7"/>
        <v>Old 55+</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38</v>
      </c>
      <c r="D495" s="3">
        <v>70000</v>
      </c>
      <c r="E495">
        <v>5</v>
      </c>
      <c r="F495" t="s">
        <v>13</v>
      </c>
      <c r="G495" t="s">
        <v>28</v>
      </c>
      <c r="H495" t="s">
        <v>15</v>
      </c>
      <c r="I495">
        <v>3</v>
      </c>
      <c r="J495" t="s">
        <v>45</v>
      </c>
      <c r="K495" t="s">
        <v>32</v>
      </c>
      <c r="L495">
        <v>60</v>
      </c>
      <c r="M495" t="str">
        <f t="shared" si="7"/>
        <v>Old 55+</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38</v>
      </c>
      <c r="D497" s="3">
        <v>60000</v>
      </c>
      <c r="E497">
        <v>2</v>
      </c>
      <c r="F497" t="s">
        <v>19</v>
      </c>
      <c r="G497" t="s">
        <v>21</v>
      </c>
      <c r="H497" t="s">
        <v>15</v>
      </c>
      <c r="I497">
        <v>2</v>
      </c>
      <c r="J497" t="s">
        <v>45</v>
      </c>
      <c r="K497" t="s">
        <v>32</v>
      </c>
      <c r="L497">
        <v>56</v>
      </c>
      <c r="M497" t="str">
        <f t="shared" si="7"/>
        <v>Old 55+</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39</v>
      </c>
      <c r="D515" s="3">
        <v>60000</v>
      </c>
      <c r="E515">
        <v>4</v>
      </c>
      <c r="F515" t="s">
        <v>31</v>
      </c>
      <c r="G515" t="s">
        <v>28</v>
      </c>
      <c r="H515" t="s">
        <v>15</v>
      </c>
      <c r="I515">
        <v>2</v>
      </c>
      <c r="J515" t="s">
        <v>45</v>
      </c>
      <c r="K515" t="s">
        <v>32</v>
      </c>
      <c r="L515">
        <v>61</v>
      </c>
      <c r="M515" t="str">
        <f t="shared" ref="M515:M578" si="8">IF(L515&gt;54,"Old 55+",IF(L515&gt;=31,"Middle Age 31-54",IF(L515&lt;310-30,"Adolescent","Invalid")))</f>
        <v>Old 55+</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38</v>
      </c>
      <c r="D523" s="3">
        <v>40000</v>
      </c>
      <c r="E523">
        <v>4</v>
      </c>
      <c r="F523" t="s">
        <v>27</v>
      </c>
      <c r="G523" t="s">
        <v>21</v>
      </c>
      <c r="H523" t="s">
        <v>15</v>
      </c>
      <c r="I523">
        <v>2</v>
      </c>
      <c r="J523" t="s">
        <v>45</v>
      </c>
      <c r="K523" t="s">
        <v>32</v>
      </c>
      <c r="L523">
        <v>62</v>
      </c>
      <c r="M523" t="str">
        <f t="shared" si="8"/>
        <v>Old 55+</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38</v>
      </c>
      <c r="D527" s="3">
        <v>60000</v>
      </c>
      <c r="E527">
        <v>5</v>
      </c>
      <c r="F527" t="s">
        <v>13</v>
      </c>
      <c r="G527" t="s">
        <v>28</v>
      </c>
      <c r="H527" t="s">
        <v>15</v>
      </c>
      <c r="I527">
        <v>3</v>
      </c>
      <c r="J527" t="s">
        <v>45</v>
      </c>
      <c r="K527" t="s">
        <v>32</v>
      </c>
      <c r="L527">
        <v>59</v>
      </c>
      <c r="M527" t="str">
        <f t="shared" si="8"/>
        <v>Old 55+</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45</v>
      </c>
      <c r="K531" t="s">
        <v>32</v>
      </c>
      <c r="L531">
        <v>57</v>
      </c>
      <c r="M531" t="str">
        <f t="shared" si="8"/>
        <v>Old 55+</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38</v>
      </c>
      <c r="D535" s="3">
        <v>60000</v>
      </c>
      <c r="E535">
        <v>3</v>
      </c>
      <c r="F535" t="s">
        <v>13</v>
      </c>
      <c r="G535" t="s">
        <v>28</v>
      </c>
      <c r="H535" t="s">
        <v>15</v>
      </c>
      <c r="I535">
        <v>2</v>
      </c>
      <c r="J535" t="s">
        <v>45</v>
      </c>
      <c r="K535" t="s">
        <v>32</v>
      </c>
      <c r="L535">
        <v>66</v>
      </c>
      <c r="M535" t="str">
        <f t="shared" si="8"/>
        <v>Old 55+</v>
      </c>
      <c r="N535" t="s">
        <v>18</v>
      </c>
    </row>
    <row r="536" spans="1:14" x14ac:dyDescent="0.35">
      <c r="A536">
        <v>24637</v>
      </c>
      <c r="B536" t="s">
        <v>36</v>
      </c>
      <c r="C536" t="s">
        <v>38</v>
      </c>
      <c r="D536" s="3">
        <v>40000</v>
      </c>
      <c r="E536">
        <v>4</v>
      </c>
      <c r="F536" t="s">
        <v>27</v>
      </c>
      <c r="G536" t="s">
        <v>21</v>
      </c>
      <c r="H536" t="s">
        <v>15</v>
      </c>
      <c r="I536">
        <v>2</v>
      </c>
      <c r="J536" t="s">
        <v>45</v>
      </c>
      <c r="K536" t="s">
        <v>32</v>
      </c>
      <c r="L536">
        <v>64</v>
      </c>
      <c r="M536" t="str">
        <f t="shared" si="8"/>
        <v>Old 55+</v>
      </c>
      <c r="N536" t="s">
        <v>18</v>
      </c>
    </row>
    <row r="537" spans="1:14" x14ac:dyDescent="0.35">
      <c r="A537">
        <v>23893</v>
      </c>
      <c r="B537" t="s">
        <v>36</v>
      </c>
      <c r="C537" t="s">
        <v>38</v>
      </c>
      <c r="D537" s="3">
        <v>50000</v>
      </c>
      <c r="E537">
        <v>3</v>
      </c>
      <c r="F537" t="s">
        <v>13</v>
      </c>
      <c r="G537" t="s">
        <v>14</v>
      </c>
      <c r="H537" t="s">
        <v>15</v>
      </c>
      <c r="I537">
        <v>3</v>
      </c>
      <c r="J537" t="s">
        <v>45</v>
      </c>
      <c r="K537" t="s">
        <v>32</v>
      </c>
      <c r="L537">
        <v>41</v>
      </c>
      <c r="M537" t="str">
        <f t="shared" si="8"/>
        <v>Middle Age 31-54</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39</v>
      </c>
      <c r="D553" s="3">
        <v>50000</v>
      </c>
      <c r="E553">
        <v>4</v>
      </c>
      <c r="F553" t="s">
        <v>13</v>
      </c>
      <c r="G553" t="s">
        <v>28</v>
      </c>
      <c r="H553" t="s">
        <v>15</v>
      </c>
      <c r="I553">
        <v>2</v>
      </c>
      <c r="J553" t="s">
        <v>45</v>
      </c>
      <c r="K553" t="s">
        <v>32</v>
      </c>
      <c r="L553">
        <v>63</v>
      </c>
      <c r="M553" t="str">
        <f t="shared" si="8"/>
        <v>Old 55+</v>
      </c>
      <c r="N553" t="s">
        <v>18</v>
      </c>
    </row>
    <row r="554" spans="1:14" x14ac:dyDescent="0.35">
      <c r="A554">
        <v>14417</v>
      </c>
      <c r="B554" t="s">
        <v>37</v>
      </c>
      <c r="C554" t="s">
        <v>38</v>
      </c>
      <c r="D554" s="3">
        <v>60000</v>
      </c>
      <c r="E554">
        <v>3</v>
      </c>
      <c r="F554" t="s">
        <v>27</v>
      </c>
      <c r="G554" t="s">
        <v>21</v>
      </c>
      <c r="H554" t="s">
        <v>15</v>
      </c>
      <c r="I554">
        <v>2</v>
      </c>
      <c r="J554" t="s">
        <v>45</v>
      </c>
      <c r="K554" t="s">
        <v>32</v>
      </c>
      <c r="L554">
        <v>54</v>
      </c>
      <c r="M554" t="str">
        <f t="shared" si="8"/>
        <v>Middle Age 31-54</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39</v>
      </c>
      <c r="D561" s="3">
        <v>60000</v>
      </c>
      <c r="E561">
        <v>2</v>
      </c>
      <c r="F561" t="s">
        <v>13</v>
      </c>
      <c r="G561" t="s">
        <v>28</v>
      </c>
      <c r="H561" t="s">
        <v>15</v>
      </c>
      <c r="I561">
        <v>0</v>
      </c>
      <c r="J561" t="s">
        <v>45</v>
      </c>
      <c r="K561" t="s">
        <v>32</v>
      </c>
      <c r="L561">
        <v>58</v>
      </c>
      <c r="M561" t="str">
        <f t="shared" si="8"/>
        <v>Old 55+</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38</v>
      </c>
      <c r="D571" s="3">
        <v>50000</v>
      </c>
      <c r="E571">
        <v>3</v>
      </c>
      <c r="F571" t="s">
        <v>31</v>
      </c>
      <c r="G571" t="s">
        <v>28</v>
      </c>
      <c r="H571" t="s">
        <v>15</v>
      </c>
      <c r="I571">
        <v>2</v>
      </c>
      <c r="J571" t="s">
        <v>45</v>
      </c>
      <c r="K571" t="s">
        <v>32</v>
      </c>
      <c r="L571">
        <v>69</v>
      </c>
      <c r="M571" t="str">
        <f t="shared" si="8"/>
        <v>Old 55+</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38</v>
      </c>
      <c r="D577" s="3">
        <v>60000</v>
      </c>
      <c r="E577">
        <v>2</v>
      </c>
      <c r="F577" t="s">
        <v>19</v>
      </c>
      <c r="G577" t="s">
        <v>21</v>
      </c>
      <c r="H577" t="s">
        <v>15</v>
      </c>
      <c r="I577">
        <v>1</v>
      </c>
      <c r="J577" t="s">
        <v>45</v>
      </c>
      <c r="K577" t="s">
        <v>32</v>
      </c>
      <c r="L577">
        <v>56</v>
      </c>
      <c r="M577" t="str">
        <f t="shared" si="8"/>
        <v>Old 55+</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31-54",IF(L579&lt;310-30,"Adolescent","Invalid")))</f>
        <v>Middle Age 31-54</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39</v>
      </c>
      <c r="D582" s="3">
        <v>60000</v>
      </c>
      <c r="E582">
        <v>3</v>
      </c>
      <c r="F582" t="s">
        <v>31</v>
      </c>
      <c r="G582" t="s">
        <v>28</v>
      </c>
      <c r="H582" t="s">
        <v>15</v>
      </c>
      <c r="I582">
        <v>2</v>
      </c>
      <c r="J582" t="s">
        <v>45</v>
      </c>
      <c r="K582" t="s">
        <v>32</v>
      </c>
      <c r="L582">
        <v>69</v>
      </c>
      <c r="M582" t="str">
        <f t="shared" si="9"/>
        <v>Old 55+</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38</v>
      </c>
      <c r="D585" s="3">
        <v>60000</v>
      </c>
      <c r="E585">
        <v>3</v>
      </c>
      <c r="F585" t="s">
        <v>13</v>
      </c>
      <c r="G585" t="s">
        <v>28</v>
      </c>
      <c r="H585" t="s">
        <v>15</v>
      </c>
      <c r="I585">
        <v>2</v>
      </c>
      <c r="J585" t="s">
        <v>45</v>
      </c>
      <c r="K585" t="s">
        <v>32</v>
      </c>
      <c r="L585">
        <v>66</v>
      </c>
      <c r="M585" t="str">
        <f t="shared" si="9"/>
        <v>Old 55+</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39</v>
      </c>
      <c r="D590" s="3">
        <v>90000</v>
      </c>
      <c r="E590">
        <v>2</v>
      </c>
      <c r="F590" t="s">
        <v>27</v>
      </c>
      <c r="G590" t="s">
        <v>21</v>
      </c>
      <c r="H590" t="s">
        <v>15</v>
      </c>
      <c r="I590">
        <v>1</v>
      </c>
      <c r="J590" t="s">
        <v>45</v>
      </c>
      <c r="K590" t="s">
        <v>32</v>
      </c>
      <c r="L590">
        <v>51</v>
      </c>
      <c r="M590" t="str">
        <f t="shared" si="9"/>
        <v>Middle Age 31-54</v>
      </c>
      <c r="N590" t="s">
        <v>15</v>
      </c>
    </row>
    <row r="591" spans="1:14" x14ac:dyDescent="0.35">
      <c r="A591">
        <v>12100</v>
      </c>
      <c r="B591" t="s">
        <v>37</v>
      </c>
      <c r="C591" t="s">
        <v>38</v>
      </c>
      <c r="D591" s="3">
        <v>60000</v>
      </c>
      <c r="E591">
        <v>2</v>
      </c>
      <c r="F591" t="s">
        <v>13</v>
      </c>
      <c r="G591" t="s">
        <v>28</v>
      </c>
      <c r="H591" t="s">
        <v>15</v>
      </c>
      <c r="I591">
        <v>0</v>
      </c>
      <c r="J591" t="s">
        <v>45</v>
      </c>
      <c r="K591" t="s">
        <v>32</v>
      </c>
      <c r="L591">
        <v>57</v>
      </c>
      <c r="M591" t="str">
        <f t="shared" si="9"/>
        <v>Old 55+</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38</v>
      </c>
      <c r="D593" s="3">
        <v>40000</v>
      </c>
      <c r="E593">
        <v>4</v>
      </c>
      <c r="F593" t="s">
        <v>27</v>
      </c>
      <c r="G593" t="s">
        <v>21</v>
      </c>
      <c r="H593" t="s">
        <v>18</v>
      </c>
      <c r="I593">
        <v>2</v>
      </c>
      <c r="J593" t="s">
        <v>45</v>
      </c>
      <c r="K593" t="s">
        <v>32</v>
      </c>
      <c r="L593">
        <v>61</v>
      </c>
      <c r="M593" t="str">
        <f t="shared" si="9"/>
        <v>Old 55+</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39</v>
      </c>
      <c r="D609" s="3">
        <v>70000</v>
      </c>
      <c r="E609">
        <v>5</v>
      </c>
      <c r="F609" t="s">
        <v>31</v>
      </c>
      <c r="G609" t="s">
        <v>21</v>
      </c>
      <c r="H609" t="s">
        <v>15</v>
      </c>
      <c r="I609">
        <v>3</v>
      </c>
      <c r="J609" t="s">
        <v>45</v>
      </c>
      <c r="K609" t="s">
        <v>32</v>
      </c>
      <c r="L609">
        <v>46</v>
      </c>
      <c r="M609" t="str">
        <f t="shared" si="9"/>
        <v>Middle Age 31-54</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38</v>
      </c>
      <c r="D643" s="3">
        <v>50000</v>
      </c>
      <c r="E643">
        <v>4</v>
      </c>
      <c r="F643" t="s">
        <v>13</v>
      </c>
      <c r="G643" t="s">
        <v>28</v>
      </c>
      <c r="H643" t="s">
        <v>15</v>
      </c>
      <c r="I643">
        <v>2</v>
      </c>
      <c r="J643" t="s">
        <v>45</v>
      </c>
      <c r="K643" t="s">
        <v>32</v>
      </c>
      <c r="L643">
        <v>64</v>
      </c>
      <c r="M643" t="str">
        <f t="shared" ref="M643:M706" si="10">IF(L643&gt;54,"Old 55+",IF(L643&gt;=31,"Middle Age 31-54",IF(L643&lt;310-30,"Adolescent","Invalid")))</f>
        <v>Old 55+</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39</v>
      </c>
      <c r="D646" s="3">
        <v>60000</v>
      </c>
      <c r="E646">
        <v>5</v>
      </c>
      <c r="F646" t="s">
        <v>13</v>
      </c>
      <c r="G646" t="s">
        <v>14</v>
      </c>
      <c r="H646" t="s">
        <v>15</v>
      </c>
      <c r="I646">
        <v>3</v>
      </c>
      <c r="J646" t="s">
        <v>45</v>
      </c>
      <c r="K646" t="s">
        <v>32</v>
      </c>
      <c r="L646">
        <v>41</v>
      </c>
      <c r="M646" t="str">
        <f t="shared" si="10"/>
        <v>Middle Age 31-54</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39</v>
      </c>
      <c r="D652" s="3">
        <v>70000</v>
      </c>
      <c r="E652">
        <v>5</v>
      </c>
      <c r="F652" t="s">
        <v>31</v>
      </c>
      <c r="G652" t="s">
        <v>28</v>
      </c>
      <c r="H652" t="s">
        <v>15</v>
      </c>
      <c r="I652">
        <v>2</v>
      </c>
      <c r="J652" t="s">
        <v>45</v>
      </c>
      <c r="K652" t="s">
        <v>32</v>
      </c>
      <c r="L652">
        <v>67</v>
      </c>
      <c r="M652" t="str">
        <f t="shared" si="10"/>
        <v>Old 55+</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39</v>
      </c>
      <c r="D661" s="3">
        <v>60000</v>
      </c>
      <c r="E661">
        <v>4</v>
      </c>
      <c r="F661" t="s">
        <v>13</v>
      </c>
      <c r="G661" t="s">
        <v>28</v>
      </c>
      <c r="H661" t="s">
        <v>15</v>
      </c>
      <c r="I661">
        <v>2</v>
      </c>
      <c r="J661" t="s">
        <v>45</v>
      </c>
      <c r="K661" t="s">
        <v>32</v>
      </c>
      <c r="L661">
        <v>63</v>
      </c>
      <c r="M661" t="str">
        <f t="shared" si="10"/>
        <v>Old 55+</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39</v>
      </c>
      <c r="D669" s="3">
        <v>40000</v>
      </c>
      <c r="E669">
        <v>5</v>
      </c>
      <c r="F669" t="s">
        <v>27</v>
      </c>
      <c r="G669" t="s">
        <v>21</v>
      </c>
      <c r="H669" t="s">
        <v>18</v>
      </c>
      <c r="I669">
        <v>2</v>
      </c>
      <c r="J669" t="s">
        <v>45</v>
      </c>
      <c r="K669" t="s">
        <v>32</v>
      </c>
      <c r="L669">
        <v>61</v>
      </c>
      <c r="M669" t="str">
        <f t="shared" si="10"/>
        <v>Old 55+</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38</v>
      </c>
      <c r="D672" s="3">
        <v>70000</v>
      </c>
      <c r="E672">
        <v>2</v>
      </c>
      <c r="F672" t="s">
        <v>19</v>
      </c>
      <c r="G672" t="s">
        <v>21</v>
      </c>
      <c r="H672" t="s">
        <v>15</v>
      </c>
      <c r="I672">
        <v>1</v>
      </c>
      <c r="J672" t="s">
        <v>45</v>
      </c>
      <c r="K672" t="s">
        <v>32</v>
      </c>
      <c r="L672">
        <v>59</v>
      </c>
      <c r="M672" t="str">
        <f t="shared" si="10"/>
        <v>Old 55+</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38</v>
      </c>
      <c r="D681" s="3">
        <v>60000</v>
      </c>
      <c r="E681">
        <v>4</v>
      </c>
      <c r="F681" t="s">
        <v>13</v>
      </c>
      <c r="G681" t="s">
        <v>28</v>
      </c>
      <c r="H681" t="s">
        <v>15</v>
      </c>
      <c r="I681">
        <v>2</v>
      </c>
      <c r="J681" t="s">
        <v>45</v>
      </c>
      <c r="K681" t="s">
        <v>32</v>
      </c>
      <c r="L681">
        <v>60</v>
      </c>
      <c r="M681" t="str">
        <f t="shared" si="10"/>
        <v>Old 55+</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39</v>
      </c>
      <c r="D707" s="3">
        <v>70000</v>
      </c>
      <c r="E707">
        <v>4</v>
      </c>
      <c r="F707" t="s">
        <v>13</v>
      </c>
      <c r="G707" t="s">
        <v>28</v>
      </c>
      <c r="H707" t="s">
        <v>15</v>
      </c>
      <c r="I707">
        <v>1</v>
      </c>
      <c r="J707" t="s">
        <v>45</v>
      </c>
      <c r="K707" t="s">
        <v>32</v>
      </c>
      <c r="L707">
        <v>59</v>
      </c>
      <c r="M707" t="str">
        <f t="shared" ref="M707:M770" si="11">IF(L707&gt;54,"Old 55+",IF(L707&gt;=31,"Middle Age 31-54",IF(L707&lt;310-30,"Adolescent","Invalid")))</f>
        <v>Old 55+</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38</v>
      </c>
      <c r="D710" s="3">
        <v>70000</v>
      </c>
      <c r="E710">
        <v>5</v>
      </c>
      <c r="F710" t="s">
        <v>13</v>
      </c>
      <c r="G710" t="s">
        <v>28</v>
      </c>
      <c r="H710" t="s">
        <v>15</v>
      </c>
      <c r="I710">
        <v>4</v>
      </c>
      <c r="J710" t="s">
        <v>45</v>
      </c>
      <c r="K710" t="s">
        <v>32</v>
      </c>
      <c r="L710">
        <v>60</v>
      </c>
      <c r="M710" t="str">
        <f t="shared" si="11"/>
        <v>Old 55+</v>
      </c>
      <c r="N710" t="s">
        <v>18</v>
      </c>
    </row>
    <row r="711" spans="1:14" x14ac:dyDescent="0.35">
      <c r="A711">
        <v>23712</v>
      </c>
      <c r="B711" t="s">
        <v>37</v>
      </c>
      <c r="C711" t="s">
        <v>39</v>
      </c>
      <c r="D711" s="3">
        <v>70000</v>
      </c>
      <c r="E711">
        <v>2</v>
      </c>
      <c r="F711" t="s">
        <v>13</v>
      </c>
      <c r="G711" t="s">
        <v>28</v>
      </c>
      <c r="H711" t="s">
        <v>15</v>
      </c>
      <c r="I711">
        <v>1</v>
      </c>
      <c r="J711" t="s">
        <v>45</v>
      </c>
      <c r="K711" t="s">
        <v>32</v>
      </c>
      <c r="L711">
        <v>59</v>
      </c>
      <c r="M711" t="str">
        <f t="shared" si="11"/>
        <v>Old 55+</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39</v>
      </c>
      <c r="D713" s="3">
        <v>70000</v>
      </c>
      <c r="E713">
        <v>2</v>
      </c>
      <c r="F713" t="s">
        <v>19</v>
      </c>
      <c r="G713" t="s">
        <v>21</v>
      </c>
      <c r="H713" t="s">
        <v>15</v>
      </c>
      <c r="I713">
        <v>1</v>
      </c>
      <c r="J713" t="s">
        <v>45</v>
      </c>
      <c r="K713" t="s">
        <v>32</v>
      </c>
      <c r="L713">
        <v>58</v>
      </c>
      <c r="M713" t="str">
        <f t="shared" si="11"/>
        <v>Old 55+</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39</v>
      </c>
      <c r="D741" s="3">
        <v>60000</v>
      </c>
      <c r="E741">
        <v>2</v>
      </c>
      <c r="F741" t="s">
        <v>19</v>
      </c>
      <c r="G741" t="s">
        <v>21</v>
      </c>
      <c r="H741" t="s">
        <v>15</v>
      </c>
      <c r="I741">
        <v>1</v>
      </c>
      <c r="J741" t="s">
        <v>45</v>
      </c>
      <c r="K741" t="s">
        <v>32</v>
      </c>
      <c r="L741">
        <v>55</v>
      </c>
      <c r="M741" t="str">
        <f t="shared" si="11"/>
        <v>Old 55+</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39</v>
      </c>
      <c r="D746" s="3">
        <v>70000</v>
      </c>
      <c r="E746">
        <v>4</v>
      </c>
      <c r="F746" t="s">
        <v>19</v>
      </c>
      <c r="G746" t="s">
        <v>21</v>
      </c>
      <c r="H746" t="s">
        <v>15</v>
      </c>
      <c r="I746">
        <v>1</v>
      </c>
      <c r="J746" t="s">
        <v>45</v>
      </c>
      <c r="K746" t="s">
        <v>32</v>
      </c>
      <c r="L746">
        <v>56</v>
      </c>
      <c r="M746" t="str">
        <f t="shared" si="11"/>
        <v>Old 55+</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39</v>
      </c>
      <c r="D748" s="3">
        <v>60000</v>
      </c>
      <c r="E748">
        <v>2</v>
      </c>
      <c r="F748" t="s">
        <v>13</v>
      </c>
      <c r="G748" t="s">
        <v>28</v>
      </c>
      <c r="H748" t="s">
        <v>15</v>
      </c>
      <c r="I748">
        <v>0</v>
      </c>
      <c r="J748" t="s">
        <v>45</v>
      </c>
      <c r="K748" t="s">
        <v>32</v>
      </c>
      <c r="L748">
        <v>56</v>
      </c>
      <c r="M748" t="str">
        <f t="shared" si="11"/>
        <v>Old 55+</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39</v>
      </c>
      <c r="D763" s="3">
        <v>60000</v>
      </c>
      <c r="E763">
        <v>5</v>
      </c>
      <c r="F763" t="s">
        <v>13</v>
      </c>
      <c r="G763" t="s">
        <v>28</v>
      </c>
      <c r="H763" t="s">
        <v>15</v>
      </c>
      <c r="I763">
        <v>3</v>
      </c>
      <c r="J763" t="s">
        <v>45</v>
      </c>
      <c r="K763" t="s">
        <v>32</v>
      </c>
      <c r="L763">
        <v>59</v>
      </c>
      <c r="M763" t="str">
        <f t="shared" si="11"/>
        <v>Old 55+</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38</v>
      </c>
      <c r="D768" s="3">
        <v>50000</v>
      </c>
      <c r="E768">
        <v>4</v>
      </c>
      <c r="F768" t="s">
        <v>13</v>
      </c>
      <c r="G768" t="s">
        <v>14</v>
      </c>
      <c r="H768" t="s">
        <v>15</v>
      </c>
      <c r="I768">
        <v>3</v>
      </c>
      <c r="J768" t="s">
        <v>45</v>
      </c>
      <c r="K768" t="s">
        <v>32</v>
      </c>
      <c r="L768">
        <v>42</v>
      </c>
      <c r="M768" t="str">
        <f t="shared" si="11"/>
        <v>Middle Age 31-54</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31-54",IF(L771&lt;310-30,"Adolescent","Invalid")))</f>
        <v>Middle Age 31-54</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38</v>
      </c>
      <c r="D777" s="3">
        <v>70000</v>
      </c>
      <c r="E777">
        <v>2</v>
      </c>
      <c r="F777" t="s">
        <v>29</v>
      </c>
      <c r="G777" t="s">
        <v>14</v>
      </c>
      <c r="H777" t="s">
        <v>15</v>
      </c>
      <c r="I777">
        <v>2</v>
      </c>
      <c r="J777" t="s">
        <v>45</v>
      </c>
      <c r="K777" t="s">
        <v>32</v>
      </c>
      <c r="L777">
        <v>54</v>
      </c>
      <c r="M777" t="str">
        <f t="shared" si="12"/>
        <v>Middle Age 31-54</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39</v>
      </c>
      <c r="D782" s="3">
        <v>60000</v>
      </c>
      <c r="E782">
        <v>2</v>
      </c>
      <c r="F782" t="s">
        <v>19</v>
      </c>
      <c r="G782" t="s">
        <v>21</v>
      </c>
      <c r="H782" t="s">
        <v>15</v>
      </c>
      <c r="I782">
        <v>1</v>
      </c>
      <c r="J782" t="s">
        <v>45</v>
      </c>
      <c r="K782" t="s">
        <v>32</v>
      </c>
      <c r="L782">
        <v>55</v>
      </c>
      <c r="M782" t="str">
        <f t="shared" si="12"/>
        <v>Old 55+</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39</v>
      </c>
      <c r="D814" s="3">
        <v>70000</v>
      </c>
      <c r="E814">
        <v>4</v>
      </c>
      <c r="F814" t="s">
        <v>13</v>
      </c>
      <c r="G814" t="s">
        <v>28</v>
      </c>
      <c r="H814" t="s">
        <v>15</v>
      </c>
      <c r="I814">
        <v>2</v>
      </c>
      <c r="J814" t="s">
        <v>45</v>
      </c>
      <c r="K814" t="s">
        <v>32</v>
      </c>
      <c r="L814">
        <v>61</v>
      </c>
      <c r="M814" t="str">
        <f t="shared" si="12"/>
        <v>Old 55+</v>
      </c>
      <c r="N814" t="s">
        <v>18</v>
      </c>
    </row>
    <row r="815" spans="1:14" x14ac:dyDescent="0.35">
      <c r="A815">
        <v>25899</v>
      </c>
      <c r="B815" t="s">
        <v>36</v>
      </c>
      <c r="C815" t="s">
        <v>39</v>
      </c>
      <c r="D815" s="3">
        <v>70000</v>
      </c>
      <c r="E815">
        <v>2</v>
      </c>
      <c r="F815" t="s">
        <v>27</v>
      </c>
      <c r="G815" t="s">
        <v>21</v>
      </c>
      <c r="H815" t="s">
        <v>15</v>
      </c>
      <c r="I815">
        <v>2</v>
      </c>
      <c r="J815" t="s">
        <v>45</v>
      </c>
      <c r="K815" t="s">
        <v>32</v>
      </c>
      <c r="L815">
        <v>53</v>
      </c>
      <c r="M815" t="str">
        <f t="shared" si="12"/>
        <v>Middle Age 31-54</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31-54",IF(L835&lt;310-30,"Adolescent","Invalid")))</f>
        <v>Middle Age 31-54</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38</v>
      </c>
      <c r="D842" s="3">
        <v>70000</v>
      </c>
      <c r="E842">
        <v>4</v>
      </c>
      <c r="F842" t="s">
        <v>19</v>
      </c>
      <c r="G842" t="s">
        <v>21</v>
      </c>
      <c r="H842" t="s">
        <v>15</v>
      </c>
      <c r="I842">
        <v>2</v>
      </c>
      <c r="J842" t="s">
        <v>45</v>
      </c>
      <c r="K842" t="s">
        <v>32</v>
      </c>
      <c r="L842">
        <v>53</v>
      </c>
      <c r="M842" t="str">
        <f t="shared" si="13"/>
        <v>Middle Age 31-54</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39</v>
      </c>
      <c r="D846" s="3">
        <v>40000</v>
      </c>
      <c r="E846">
        <v>5</v>
      </c>
      <c r="F846" t="s">
        <v>27</v>
      </c>
      <c r="G846" t="s">
        <v>21</v>
      </c>
      <c r="H846" t="s">
        <v>15</v>
      </c>
      <c r="I846">
        <v>2</v>
      </c>
      <c r="J846" t="s">
        <v>45</v>
      </c>
      <c r="K846" t="s">
        <v>32</v>
      </c>
      <c r="L846">
        <v>60</v>
      </c>
      <c r="M846" t="str">
        <f t="shared" si="13"/>
        <v>Old 55+</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38</v>
      </c>
      <c r="D868" s="3">
        <v>60000</v>
      </c>
      <c r="E868">
        <v>2</v>
      </c>
      <c r="F868" t="s">
        <v>27</v>
      </c>
      <c r="G868" t="s">
        <v>21</v>
      </c>
      <c r="H868" t="s">
        <v>15</v>
      </c>
      <c r="I868">
        <v>2</v>
      </c>
      <c r="J868" t="s">
        <v>45</v>
      </c>
      <c r="K868" t="s">
        <v>32</v>
      </c>
      <c r="L868">
        <v>55</v>
      </c>
      <c r="M868" t="str">
        <f t="shared" si="13"/>
        <v>Old 55+</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38</v>
      </c>
      <c r="D870" s="3">
        <v>30000</v>
      </c>
      <c r="E870">
        <v>5</v>
      </c>
      <c r="F870" t="s">
        <v>29</v>
      </c>
      <c r="G870" t="s">
        <v>14</v>
      </c>
      <c r="H870" t="s">
        <v>15</v>
      </c>
      <c r="I870">
        <v>3</v>
      </c>
      <c r="J870" t="s">
        <v>45</v>
      </c>
      <c r="K870" t="s">
        <v>32</v>
      </c>
      <c r="L870">
        <v>60</v>
      </c>
      <c r="M870" t="str">
        <f t="shared" si="13"/>
        <v>Old 55+</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38</v>
      </c>
      <c r="D873" s="3">
        <v>60000</v>
      </c>
      <c r="E873">
        <v>2</v>
      </c>
      <c r="F873" t="s">
        <v>27</v>
      </c>
      <c r="G873" t="s">
        <v>21</v>
      </c>
      <c r="H873" t="s">
        <v>15</v>
      </c>
      <c r="I873">
        <v>2</v>
      </c>
      <c r="J873" t="s">
        <v>45</v>
      </c>
      <c r="K873" t="s">
        <v>32</v>
      </c>
      <c r="L873">
        <v>55</v>
      </c>
      <c r="M873" t="str">
        <f t="shared" si="13"/>
        <v>Old 55+</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31-54",IF(L899&lt;310-30,"Adolescent","Invalid")))</f>
        <v>Adolescent</v>
      </c>
      <c r="N899" t="s">
        <v>18</v>
      </c>
    </row>
    <row r="900" spans="1:14" x14ac:dyDescent="0.35">
      <c r="A900">
        <v>18066</v>
      </c>
      <c r="B900" t="s">
        <v>37</v>
      </c>
      <c r="C900" t="s">
        <v>38</v>
      </c>
      <c r="D900" s="3">
        <v>70000</v>
      </c>
      <c r="E900">
        <v>5</v>
      </c>
      <c r="F900" t="s">
        <v>13</v>
      </c>
      <c r="G900" t="s">
        <v>28</v>
      </c>
      <c r="H900" t="s">
        <v>15</v>
      </c>
      <c r="I900">
        <v>3</v>
      </c>
      <c r="J900" t="s">
        <v>45</v>
      </c>
      <c r="K900" t="s">
        <v>32</v>
      </c>
      <c r="L900">
        <v>60</v>
      </c>
      <c r="M900" t="str">
        <f t="shared" si="14"/>
        <v>Old 55+</v>
      </c>
      <c r="N900" t="s">
        <v>15</v>
      </c>
    </row>
    <row r="901" spans="1:14" x14ac:dyDescent="0.35">
      <c r="A901">
        <v>28192</v>
      </c>
      <c r="B901" t="s">
        <v>36</v>
      </c>
      <c r="C901" t="s">
        <v>39</v>
      </c>
      <c r="D901" s="3">
        <v>70000</v>
      </c>
      <c r="E901">
        <v>5</v>
      </c>
      <c r="F901" t="s">
        <v>31</v>
      </c>
      <c r="G901" t="s">
        <v>21</v>
      </c>
      <c r="H901" t="s">
        <v>15</v>
      </c>
      <c r="I901">
        <v>3</v>
      </c>
      <c r="J901" t="s">
        <v>45</v>
      </c>
      <c r="K901" t="s">
        <v>32</v>
      </c>
      <c r="L901">
        <v>46</v>
      </c>
      <c r="M901" t="str">
        <f t="shared" si="14"/>
        <v>Middle Age 31-54</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38</v>
      </c>
      <c r="D909" s="3">
        <v>50000</v>
      </c>
      <c r="E909">
        <v>4</v>
      </c>
      <c r="F909" t="s">
        <v>13</v>
      </c>
      <c r="G909" t="s">
        <v>28</v>
      </c>
      <c r="H909" t="s">
        <v>15</v>
      </c>
      <c r="I909">
        <v>2</v>
      </c>
      <c r="J909" t="s">
        <v>45</v>
      </c>
      <c r="K909" t="s">
        <v>32</v>
      </c>
      <c r="L909">
        <v>63</v>
      </c>
      <c r="M909" t="str">
        <f t="shared" si="14"/>
        <v>Old 55+</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38</v>
      </c>
      <c r="D917" s="3">
        <v>60000</v>
      </c>
      <c r="E917">
        <v>3</v>
      </c>
      <c r="F917" t="s">
        <v>31</v>
      </c>
      <c r="G917" t="s">
        <v>28</v>
      </c>
      <c r="H917" t="s">
        <v>15</v>
      </c>
      <c r="I917">
        <v>2</v>
      </c>
      <c r="J917" t="s">
        <v>45</v>
      </c>
      <c r="K917" t="s">
        <v>32</v>
      </c>
      <c r="L917">
        <v>64</v>
      </c>
      <c r="M917" t="str">
        <f t="shared" si="14"/>
        <v>Old 55+</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39</v>
      </c>
      <c r="D921" s="3">
        <v>40000</v>
      </c>
      <c r="E921">
        <v>4</v>
      </c>
      <c r="F921" t="s">
        <v>27</v>
      </c>
      <c r="G921" t="s">
        <v>21</v>
      </c>
      <c r="H921" t="s">
        <v>15</v>
      </c>
      <c r="I921">
        <v>2</v>
      </c>
      <c r="J921" t="s">
        <v>45</v>
      </c>
      <c r="K921" t="s">
        <v>32</v>
      </c>
      <c r="L921">
        <v>61</v>
      </c>
      <c r="M921" t="str">
        <f t="shared" si="14"/>
        <v>Old 55+</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39</v>
      </c>
      <c r="D928" s="3">
        <v>40000</v>
      </c>
      <c r="E928">
        <v>2</v>
      </c>
      <c r="F928" t="s">
        <v>27</v>
      </c>
      <c r="G928" t="s">
        <v>21</v>
      </c>
      <c r="H928" t="s">
        <v>15</v>
      </c>
      <c r="I928">
        <v>2</v>
      </c>
      <c r="J928" t="s">
        <v>45</v>
      </c>
      <c r="K928" t="s">
        <v>32</v>
      </c>
      <c r="L928">
        <v>57</v>
      </c>
      <c r="M928" t="str">
        <f t="shared" si="14"/>
        <v>Old 55+</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38</v>
      </c>
      <c r="D932" s="3">
        <v>70000</v>
      </c>
      <c r="E932">
        <v>5</v>
      </c>
      <c r="F932" t="s">
        <v>31</v>
      </c>
      <c r="G932" t="s">
        <v>21</v>
      </c>
      <c r="H932" t="s">
        <v>18</v>
      </c>
      <c r="I932">
        <v>3</v>
      </c>
      <c r="J932" t="s">
        <v>45</v>
      </c>
      <c r="K932" t="s">
        <v>32</v>
      </c>
      <c r="L932">
        <v>47</v>
      </c>
      <c r="M932" t="str">
        <f t="shared" si="14"/>
        <v>Middle Age 31-54</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38</v>
      </c>
      <c r="D951" s="3">
        <v>70000</v>
      </c>
      <c r="E951">
        <v>2</v>
      </c>
      <c r="F951" t="s">
        <v>29</v>
      </c>
      <c r="G951" t="s">
        <v>14</v>
      </c>
      <c r="H951" t="s">
        <v>15</v>
      </c>
      <c r="I951">
        <v>2</v>
      </c>
      <c r="J951" t="s">
        <v>45</v>
      </c>
      <c r="K951" t="s">
        <v>32</v>
      </c>
      <c r="L951">
        <v>53</v>
      </c>
      <c r="M951" t="str">
        <f t="shared" si="14"/>
        <v>Middle Age 31-54</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 55+",IF(L963&gt;=31,"Middle Age 31-54",IF(L963&lt;310-30,"Adolescent","Invalid")))</f>
        <v>Old 55+</v>
      </c>
      <c r="N963" t="s">
        <v>18</v>
      </c>
    </row>
    <row r="964" spans="1:14" x14ac:dyDescent="0.35">
      <c r="A964">
        <v>16813</v>
      </c>
      <c r="B964" t="s">
        <v>36</v>
      </c>
      <c r="C964" t="s">
        <v>38</v>
      </c>
      <c r="D964" s="3">
        <v>60000</v>
      </c>
      <c r="E964">
        <v>2</v>
      </c>
      <c r="F964" t="s">
        <v>19</v>
      </c>
      <c r="G964" t="s">
        <v>21</v>
      </c>
      <c r="H964" t="s">
        <v>15</v>
      </c>
      <c r="I964">
        <v>2</v>
      </c>
      <c r="J964" t="s">
        <v>45</v>
      </c>
      <c r="K964" t="s">
        <v>32</v>
      </c>
      <c r="L964">
        <v>55</v>
      </c>
      <c r="M964" t="str">
        <f t="shared" si="15"/>
        <v>Old 55+</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38</v>
      </c>
      <c r="D966" s="3">
        <v>70000</v>
      </c>
      <c r="E966">
        <v>4</v>
      </c>
      <c r="F966" t="s">
        <v>19</v>
      </c>
      <c r="G966" t="s">
        <v>21</v>
      </c>
      <c r="H966" t="s">
        <v>15</v>
      </c>
      <c r="I966">
        <v>1</v>
      </c>
      <c r="J966" t="s">
        <v>45</v>
      </c>
      <c r="K966" t="s">
        <v>32</v>
      </c>
      <c r="L966">
        <v>56</v>
      </c>
      <c r="M966" t="str">
        <f t="shared" si="15"/>
        <v>Old 55+</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39</v>
      </c>
      <c r="D978" s="3">
        <v>60000</v>
      </c>
      <c r="E978">
        <v>3</v>
      </c>
      <c r="F978" t="s">
        <v>13</v>
      </c>
      <c r="G978" t="s">
        <v>28</v>
      </c>
      <c r="H978" t="s">
        <v>15</v>
      </c>
      <c r="I978">
        <v>2</v>
      </c>
      <c r="J978" t="s">
        <v>45</v>
      </c>
      <c r="K978" t="s">
        <v>32</v>
      </c>
      <c r="L978">
        <v>66</v>
      </c>
      <c r="M978" t="str">
        <f t="shared" si="15"/>
        <v>Old 55+</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39</v>
      </c>
      <c r="D982" s="3">
        <v>80000</v>
      </c>
      <c r="E982">
        <v>3</v>
      </c>
      <c r="F982" t="s">
        <v>13</v>
      </c>
      <c r="G982" t="s">
        <v>14</v>
      </c>
      <c r="H982" t="s">
        <v>15</v>
      </c>
      <c r="I982">
        <v>3</v>
      </c>
      <c r="J982" t="s">
        <v>45</v>
      </c>
      <c r="K982" t="s">
        <v>32</v>
      </c>
      <c r="L982">
        <v>40</v>
      </c>
      <c r="M982" t="str">
        <f t="shared" si="15"/>
        <v>Middle Age 31-54</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38</v>
      </c>
      <c r="D988" s="3">
        <v>40000</v>
      </c>
      <c r="E988">
        <v>5</v>
      </c>
      <c r="F988" t="s">
        <v>27</v>
      </c>
      <c r="G988" t="s">
        <v>21</v>
      </c>
      <c r="H988" t="s">
        <v>15</v>
      </c>
      <c r="I988">
        <v>4</v>
      </c>
      <c r="J988" t="s">
        <v>45</v>
      </c>
      <c r="K988" t="s">
        <v>32</v>
      </c>
      <c r="L988">
        <v>60</v>
      </c>
      <c r="M988" t="str">
        <f t="shared" si="15"/>
        <v>Old 55+</v>
      </c>
      <c r="N988" t="s">
        <v>15</v>
      </c>
    </row>
    <row r="989" spans="1:14" x14ac:dyDescent="0.35">
      <c r="A989">
        <v>28972</v>
      </c>
      <c r="B989" t="s">
        <v>37</v>
      </c>
      <c r="C989" t="s">
        <v>39</v>
      </c>
      <c r="D989" s="3">
        <v>60000</v>
      </c>
      <c r="E989">
        <v>3</v>
      </c>
      <c r="F989" t="s">
        <v>31</v>
      </c>
      <c r="G989" t="s">
        <v>28</v>
      </c>
      <c r="H989" t="s">
        <v>15</v>
      </c>
      <c r="I989">
        <v>2</v>
      </c>
      <c r="J989" t="s">
        <v>45</v>
      </c>
      <c r="K989" t="s">
        <v>32</v>
      </c>
      <c r="L989">
        <v>66</v>
      </c>
      <c r="M989" t="str">
        <f t="shared" si="15"/>
        <v>Old 55+</v>
      </c>
      <c r="N989" t="s">
        <v>18</v>
      </c>
    </row>
    <row r="990" spans="1:14" x14ac:dyDescent="0.35">
      <c r="A990">
        <v>22730</v>
      </c>
      <c r="B990" t="s">
        <v>36</v>
      </c>
      <c r="C990" t="s">
        <v>38</v>
      </c>
      <c r="D990" s="3">
        <v>70000</v>
      </c>
      <c r="E990">
        <v>5</v>
      </c>
      <c r="F990" t="s">
        <v>13</v>
      </c>
      <c r="G990" t="s">
        <v>28</v>
      </c>
      <c r="H990" t="s">
        <v>15</v>
      </c>
      <c r="I990">
        <v>2</v>
      </c>
      <c r="J990" t="s">
        <v>45</v>
      </c>
      <c r="K990" t="s">
        <v>32</v>
      </c>
      <c r="L990">
        <v>63</v>
      </c>
      <c r="M990" t="str">
        <f t="shared" si="15"/>
        <v>Old 55+</v>
      </c>
      <c r="N990" t="s">
        <v>18</v>
      </c>
    </row>
    <row r="991" spans="1:14" x14ac:dyDescent="0.35">
      <c r="A991">
        <v>29134</v>
      </c>
      <c r="B991" t="s">
        <v>36</v>
      </c>
      <c r="C991" t="s">
        <v>38</v>
      </c>
      <c r="D991" s="3">
        <v>60000</v>
      </c>
      <c r="E991">
        <v>4</v>
      </c>
      <c r="F991" t="s">
        <v>13</v>
      </c>
      <c r="G991" t="s">
        <v>14</v>
      </c>
      <c r="H991" t="s">
        <v>18</v>
      </c>
      <c r="I991">
        <v>3</v>
      </c>
      <c r="J991" t="s">
        <v>45</v>
      </c>
      <c r="K991" t="s">
        <v>32</v>
      </c>
      <c r="L991">
        <v>42</v>
      </c>
      <c r="M991" t="str">
        <f t="shared" si="15"/>
        <v>Middle Age 31-54</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38</v>
      </c>
      <c r="D1001" s="3">
        <v>60000</v>
      </c>
      <c r="E1001">
        <v>3</v>
      </c>
      <c r="F1001" t="s">
        <v>27</v>
      </c>
      <c r="G1001" t="s">
        <v>21</v>
      </c>
      <c r="H1001" t="s">
        <v>15</v>
      </c>
      <c r="I1001">
        <v>2</v>
      </c>
      <c r="J1001" t="s">
        <v>45</v>
      </c>
      <c r="K1001" t="s">
        <v>32</v>
      </c>
      <c r="L1001">
        <v>53</v>
      </c>
      <c r="M1001" t="str">
        <f t="shared" si="15"/>
        <v>Middle Age 31-54</v>
      </c>
      <c r="N1001" t="s">
        <v>15</v>
      </c>
    </row>
  </sheetData>
  <autoFilter ref="A1:N1001" xr:uid="{4141B67E-91C1-4588-A4F0-A43F71C0770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70B8-D726-4F9A-B689-374F95F2FBE8}">
  <dimension ref="A1:D45"/>
  <sheetViews>
    <sheetView workbookViewId="0">
      <selection activeCell="M38" sqref="M1:M1048576"/>
    </sheetView>
  </sheetViews>
  <sheetFormatPr defaultRowHeight="14.5" x14ac:dyDescent="0.35"/>
  <cols>
    <col min="1" max="1" width="21.90625" bestFit="1" customWidth="1"/>
    <col min="2" max="2" width="15.54296875" bestFit="1" customWidth="1"/>
    <col min="3" max="3" width="13" customWidth="1"/>
    <col min="4" max="4" width="10.81640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6">
        <v>54874.759152215796</v>
      </c>
      <c r="C5" s="6">
        <v>57962.577962577961</v>
      </c>
      <c r="D5" s="6">
        <v>56360</v>
      </c>
    </row>
    <row r="19" spans="1:4" x14ac:dyDescent="0.35">
      <c r="A19" s="4" t="s">
        <v>40</v>
      </c>
      <c r="B19" s="4" t="s">
        <v>44</v>
      </c>
    </row>
    <row r="20" spans="1:4" x14ac:dyDescent="0.35">
      <c r="A20" s="4" t="s">
        <v>41</v>
      </c>
      <c r="B20" t="s">
        <v>18</v>
      </c>
      <c r="C20" t="s">
        <v>15</v>
      </c>
      <c r="D20" t="s">
        <v>42</v>
      </c>
    </row>
    <row r="21" spans="1:4" x14ac:dyDescent="0.35">
      <c r="A21" s="5" t="s">
        <v>16</v>
      </c>
      <c r="B21" s="7">
        <v>166</v>
      </c>
      <c r="C21" s="7">
        <v>200</v>
      </c>
      <c r="D21" s="7">
        <v>366</v>
      </c>
    </row>
    <row r="22" spans="1:4" x14ac:dyDescent="0.35">
      <c r="A22" s="5" t="s">
        <v>26</v>
      </c>
      <c r="B22" s="7">
        <v>92</v>
      </c>
      <c r="C22" s="7">
        <v>77</v>
      </c>
      <c r="D22" s="7">
        <v>169</v>
      </c>
    </row>
    <row r="23" spans="1:4" x14ac:dyDescent="0.35">
      <c r="A23" s="5" t="s">
        <v>22</v>
      </c>
      <c r="B23" s="7">
        <v>67</v>
      </c>
      <c r="C23" s="7">
        <v>95</v>
      </c>
      <c r="D23" s="7">
        <v>162</v>
      </c>
    </row>
    <row r="24" spans="1:4" x14ac:dyDescent="0.35">
      <c r="A24" s="5" t="s">
        <v>23</v>
      </c>
      <c r="B24" s="7">
        <v>116</v>
      </c>
      <c r="C24" s="7">
        <v>76</v>
      </c>
      <c r="D24" s="7">
        <v>192</v>
      </c>
    </row>
    <row r="25" spans="1:4" x14ac:dyDescent="0.35">
      <c r="A25" s="5" t="s">
        <v>45</v>
      </c>
      <c r="B25" s="7">
        <v>78</v>
      </c>
      <c r="C25" s="7">
        <v>33</v>
      </c>
      <c r="D25" s="7">
        <v>111</v>
      </c>
    </row>
    <row r="26" spans="1:4" x14ac:dyDescent="0.35">
      <c r="A26" s="5" t="s">
        <v>42</v>
      </c>
      <c r="B26" s="7">
        <v>519</v>
      </c>
      <c r="C26" s="7">
        <v>481</v>
      </c>
      <c r="D26" s="7">
        <v>1000</v>
      </c>
    </row>
    <row r="40" spans="1:4" x14ac:dyDescent="0.35">
      <c r="A40" s="4" t="s">
        <v>40</v>
      </c>
      <c r="B40" s="4" t="s">
        <v>44</v>
      </c>
    </row>
    <row r="41" spans="1:4" x14ac:dyDescent="0.35">
      <c r="A41" s="4" t="s">
        <v>41</v>
      </c>
      <c r="B41" t="s">
        <v>18</v>
      </c>
      <c r="C41" t="s">
        <v>15</v>
      </c>
      <c r="D41" t="s">
        <v>42</v>
      </c>
    </row>
    <row r="42" spans="1:4" x14ac:dyDescent="0.35">
      <c r="A42" s="5" t="s">
        <v>47</v>
      </c>
      <c r="B42" s="7">
        <v>71</v>
      </c>
      <c r="C42" s="7">
        <v>39</v>
      </c>
      <c r="D42" s="7">
        <v>110</v>
      </c>
    </row>
    <row r="43" spans="1:4" x14ac:dyDescent="0.35">
      <c r="A43" s="5" t="s">
        <v>49</v>
      </c>
      <c r="B43" s="7">
        <v>318</v>
      </c>
      <c r="C43" s="7">
        <v>383</v>
      </c>
      <c r="D43" s="7">
        <v>701</v>
      </c>
    </row>
    <row r="44" spans="1:4" x14ac:dyDescent="0.35">
      <c r="A44" s="5" t="s">
        <v>50</v>
      </c>
      <c r="B44" s="7">
        <v>130</v>
      </c>
      <c r="C44" s="7">
        <v>59</v>
      </c>
      <c r="D44" s="7">
        <v>189</v>
      </c>
    </row>
    <row r="45" spans="1:4" x14ac:dyDescent="0.35">
      <c r="A45" s="5"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05E2D-BD3A-4960-B46D-FDD85A64C725}">
  <dimension ref="A1:S6"/>
  <sheetViews>
    <sheetView showGridLines="0" tabSelected="1" zoomScale="83" workbookViewId="0">
      <selection activeCell="K24" sqref="K24"/>
    </sheetView>
  </sheetViews>
  <sheetFormatPr defaultRowHeight="14.5" x14ac:dyDescent="0.35"/>
  <sheetData>
    <row r="1" spans="1:19" ht="14.4" customHeight="1" x14ac:dyDescent="0.35">
      <c r="A1" s="9" t="s">
        <v>48</v>
      </c>
      <c r="B1" s="9"/>
      <c r="C1" s="9"/>
      <c r="D1" s="9"/>
      <c r="E1" s="9"/>
      <c r="F1" s="9"/>
      <c r="G1" s="9"/>
      <c r="H1" s="9"/>
      <c r="I1" s="9"/>
      <c r="J1" s="9"/>
      <c r="K1" s="9"/>
      <c r="L1" s="9"/>
      <c r="M1" s="9"/>
      <c r="N1" s="9"/>
      <c r="O1" s="8"/>
      <c r="P1" s="8"/>
      <c r="Q1" s="8"/>
      <c r="R1" s="8"/>
      <c r="S1" s="8"/>
    </row>
    <row r="2" spans="1:19" ht="14.4" customHeight="1" x14ac:dyDescent="0.35">
      <c r="A2" s="9"/>
      <c r="B2" s="9"/>
      <c r="C2" s="9"/>
      <c r="D2" s="9"/>
      <c r="E2" s="9"/>
      <c r="F2" s="9"/>
      <c r="G2" s="9"/>
      <c r="H2" s="9"/>
      <c r="I2" s="9"/>
      <c r="J2" s="9"/>
      <c r="K2" s="9"/>
      <c r="L2" s="9"/>
      <c r="M2" s="9"/>
      <c r="N2" s="9"/>
      <c r="O2" s="8"/>
      <c r="P2" s="8"/>
      <c r="Q2" s="8"/>
      <c r="R2" s="8"/>
      <c r="S2" s="8"/>
    </row>
    <row r="3" spans="1:19" ht="14.4" customHeight="1" x14ac:dyDescent="0.35">
      <c r="A3" s="9"/>
      <c r="B3" s="9"/>
      <c r="C3" s="9"/>
      <c r="D3" s="9"/>
      <c r="E3" s="9"/>
      <c r="F3" s="9"/>
      <c r="G3" s="9"/>
      <c r="H3" s="9"/>
      <c r="I3" s="9"/>
      <c r="J3" s="9"/>
      <c r="K3" s="9"/>
      <c r="L3" s="9"/>
      <c r="M3" s="9"/>
      <c r="N3" s="9"/>
      <c r="O3" s="8"/>
      <c r="P3" s="8"/>
      <c r="Q3" s="8"/>
      <c r="R3" s="8"/>
      <c r="S3" s="8"/>
    </row>
    <row r="4" spans="1:19" ht="14.4" customHeight="1" x14ac:dyDescent="0.35">
      <c r="A4" s="9"/>
      <c r="B4" s="9"/>
      <c r="C4" s="9"/>
      <c r="D4" s="9"/>
      <c r="E4" s="9"/>
      <c r="F4" s="9"/>
      <c r="G4" s="9"/>
      <c r="H4" s="9"/>
      <c r="I4" s="9"/>
      <c r="J4" s="9"/>
      <c r="K4" s="9"/>
      <c r="L4" s="9"/>
      <c r="M4" s="9"/>
      <c r="N4" s="9"/>
      <c r="O4" s="8"/>
      <c r="P4" s="8"/>
      <c r="Q4" s="8"/>
      <c r="R4" s="8"/>
      <c r="S4" s="8"/>
    </row>
    <row r="5" spans="1:19" ht="14.4" customHeight="1" x14ac:dyDescent="0.35">
      <c r="A5" s="9"/>
      <c r="B5" s="9"/>
      <c r="C5" s="9"/>
      <c r="D5" s="9"/>
      <c r="E5" s="9"/>
      <c r="F5" s="9"/>
      <c r="G5" s="9"/>
      <c r="H5" s="9"/>
      <c r="I5" s="9"/>
      <c r="J5" s="9"/>
      <c r="K5" s="9"/>
      <c r="L5" s="9"/>
      <c r="M5" s="9"/>
      <c r="N5" s="9"/>
      <c r="O5" s="8"/>
      <c r="P5" s="8"/>
      <c r="Q5" s="8"/>
      <c r="R5" s="8"/>
      <c r="S5" s="8"/>
    </row>
    <row r="6" spans="1:19" ht="14.4" customHeight="1" x14ac:dyDescent="0.35">
      <c r="A6" s="9"/>
      <c r="B6" s="9"/>
      <c r="C6" s="9"/>
      <c r="D6" s="9"/>
      <c r="E6" s="9"/>
      <c r="F6" s="9"/>
      <c r="G6" s="9"/>
      <c r="H6" s="9"/>
      <c r="I6" s="9"/>
      <c r="J6" s="9"/>
      <c r="K6" s="9"/>
      <c r="L6" s="9"/>
      <c r="M6" s="9"/>
      <c r="N6" s="9"/>
      <c r="O6" s="8"/>
      <c r="P6" s="8"/>
      <c r="Q6" s="8"/>
      <c r="R6" s="8"/>
      <c r="S6" s="8"/>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Eziuzor</cp:lastModifiedBy>
  <dcterms:created xsi:type="dcterms:W3CDTF">2022-03-18T02:50:57Z</dcterms:created>
  <dcterms:modified xsi:type="dcterms:W3CDTF">2026-06-06T13:16:12Z</dcterms:modified>
</cp:coreProperties>
</file>